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cob\projects\Analyst-Portfolio\01_Business_Performance_Dashboard\data_clean\"/>
    </mc:Choice>
  </mc:AlternateContent>
  <xr:revisionPtr revIDLastSave="0" documentId="13_ncr:1_{62FD1A81-740C-44C6-907F-51B0AFBD899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aw_Data" sheetId="1" r:id="rId1"/>
    <sheet name="Clean_Data" sheetId="2" r:id="rId2"/>
    <sheet name="Pivots" sheetId="3" r:id="rId3"/>
    <sheet name="Dashboard" sheetId="4" r:id="rId4"/>
  </sheet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H3" i="4"/>
  <c r="F3" i="4"/>
  <c r="D3" i="4"/>
  <c r="B3" i="4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</calcChain>
</file>

<file path=xl/sharedStrings.xml><?xml version="1.0" encoding="utf-8"?>
<sst xmlns="http://schemas.openxmlformats.org/spreadsheetml/2006/main" count="2107" uniqueCount="85">
  <si>
    <t>Date</t>
  </si>
  <si>
    <t>Customer</t>
  </si>
  <si>
    <t>Category</t>
  </si>
  <si>
    <t>Product_Service</t>
  </si>
  <si>
    <t>Quantity</t>
  </si>
  <si>
    <t>Unit_Price</t>
  </si>
  <si>
    <t>Revenue</t>
  </si>
  <si>
    <t>Direct_Cost</t>
  </si>
  <si>
    <t>Gross_Profit</t>
  </si>
  <si>
    <t>Region</t>
  </si>
  <si>
    <t>Salesperson</t>
  </si>
  <si>
    <t>Rustenburg Crushers</t>
  </si>
  <si>
    <t>Maintenance</t>
  </si>
  <si>
    <t>Maintenance Visit</t>
  </si>
  <si>
    <t>Gauteng</t>
  </si>
  <si>
    <t>Carel</t>
  </si>
  <si>
    <t>Delta Plant Hire</t>
  </si>
  <si>
    <t>Site Inspection</t>
  </si>
  <si>
    <t>Mpumalanga</t>
  </si>
  <si>
    <t>Lerato</t>
  </si>
  <si>
    <t>Siyakhula Services</t>
  </si>
  <si>
    <t>Product</t>
  </si>
  <si>
    <t>Industrial Rollers</t>
  </si>
  <si>
    <t>Pieter</t>
  </si>
  <si>
    <t>Khula Engineering</t>
  </si>
  <si>
    <t>Service</t>
  </si>
  <si>
    <t>Emergency Callout</t>
  </si>
  <si>
    <t>Limpopo</t>
  </si>
  <si>
    <t>Cold Splicing</t>
  </si>
  <si>
    <t>Free State</t>
  </si>
  <si>
    <t>Thabo</t>
  </si>
  <si>
    <t>Repair Service</t>
  </si>
  <si>
    <t>North West</t>
  </si>
  <si>
    <t>Apex Industrial</t>
  </si>
  <si>
    <t>Consumables</t>
  </si>
  <si>
    <t>Consumable Kit</t>
  </si>
  <si>
    <t>North Star Processing</t>
  </si>
  <si>
    <t>Support</t>
  </si>
  <si>
    <t>Technical Support Visit</t>
  </si>
  <si>
    <t>Goldline Projects</t>
  </si>
  <si>
    <t>Belt Supply</t>
  </si>
  <si>
    <t>Platinum Works</t>
  </si>
  <si>
    <t>Alpha Mining</t>
  </si>
  <si>
    <t>Titan Bulk Systems</t>
  </si>
  <si>
    <t>Ubuntu Resources</t>
  </si>
  <si>
    <t>Monthly Support Package</t>
  </si>
  <si>
    <t>James</t>
  </si>
  <si>
    <t>Support Retainer</t>
  </si>
  <si>
    <t>Pulley Lagging</t>
  </si>
  <si>
    <t>Splicing Tools Refill</t>
  </si>
  <si>
    <t>Mzansi Aggregates</t>
  </si>
  <si>
    <t>Imbokodo Materials</t>
  </si>
  <si>
    <t>Adhesive Pack</t>
  </si>
  <si>
    <t>Horizon Minerals</t>
  </si>
  <si>
    <t>Installation Kit</t>
  </si>
  <si>
    <t>Vuka Logistics</t>
  </si>
  <si>
    <t>Check_Revenue</t>
  </si>
  <si>
    <t>Check_Gross_Profit</t>
  </si>
  <si>
    <t>Check_Cost_Valid</t>
  </si>
  <si>
    <t>Month</t>
  </si>
  <si>
    <t>Quarter</t>
  </si>
  <si>
    <t>Year</t>
  </si>
  <si>
    <t>Gross_Margin_Pct</t>
  </si>
  <si>
    <t>Revenue_Band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</si>
  <si>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</si>
  <si>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</si>
  <si>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</si>
  <si>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</si>
  <si>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</si>
  <si>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</si>
  <si>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</si>
  <si>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</si>
  <si>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</si>
  <si>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</si>
  <si>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</si>
  <si>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</si>
  <si>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</si>
  <si>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</si>
  <si>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Revenue</t>
  </si>
  <si>
    <t>Sum of Gross_Profit</t>
  </si>
  <si>
    <t>Total Revenue</t>
  </si>
  <si>
    <t>Total Gross Profit</t>
  </si>
  <si>
    <t>Gross Margin %</t>
  </si>
  <si>
    <t># Customers</t>
  </si>
  <si>
    <t>Avg Revenue /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</si>
</sst>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&quot;#,##0.00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Lucida Sans"/>
      <family val="2"/>
    </font>
    <font>
      <b/>
      <sz val="11"/>
      <color theme="1"/>
      <name val="Lucida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0" fontId="1" fillId="4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5" fontId="1" fillId="6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20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" formatCode="0"/>
    </dxf>
    <dxf>
      <numFmt numFmtId="164" formatCode="yyyy\-mm\-dd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" formatCode="0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[clean_business_data.xlsx]Pivots!Monthly Revenue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Pivots!$B$4:$B$16</c:f>
              <c:numCache>
                <c:formatCode>"R"#\ ##0.00</c:formatCode>
                <c:ptCount val="12"/>
                <c:pt idx="0">
                  <c:v>906518</c:v>
                </c:pt>
                <c:pt idx="1">
                  <c:v>698759.94000000006</c:v>
                </c:pt>
                <c:pt idx="2">
                  <c:v>761668.98</c:v>
                </c:pt>
                <c:pt idx="3">
                  <c:v>576912.07000000007</c:v>
                </c:pt>
                <c:pt idx="4">
                  <c:v>914872.71</c:v>
                </c:pt>
                <c:pt idx="5">
                  <c:v>764121.09</c:v>
                </c:pt>
                <c:pt idx="6">
                  <c:v>727135.23</c:v>
                </c:pt>
                <c:pt idx="7">
                  <c:v>555393.61</c:v>
                </c:pt>
                <c:pt idx="8">
                  <c:v>888299.93999999983</c:v>
                </c:pt>
                <c:pt idx="9">
                  <c:v>582613.65</c:v>
                </c:pt>
                <c:pt idx="10">
                  <c:v>412454.89</c:v>
                </c:pt>
                <c:pt idx="11">
                  <c:v>409595.29000000004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A-4677-815C-402946342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7394832"/>
        <c:axId val="827400112"/>
      </c:barChart>
      <c:catAx>
        <c:axId val="82739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00112"/>
        <c:crosses val="autoZero"/>
        <c:auto val="1"/>
        <c:lblAlgn val="ctr"/>
        <c:lblOffset val="100"/>
        <c:noMultiLvlLbl val="0"/>
      </c:catAx>
      <c:valAx>
        <c:axId val="8274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273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[clean_business_data.xlsx]Pivots!Monthly Gross Profit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Gross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Pivots!$E$4:$E$16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Pivots!$F$4:$F$16</c:f>
              <c:numCache>
                <c:formatCode>"R"#\ ##0.00</c:formatCode>
                <c:ptCount val="12"/>
                <c:pt idx="0">
                  <c:v>319042.19999999995</c:v>
                </c:pt>
                <c:pt idx="1">
                  <c:v>262139.46999999997</c:v>
                </c:pt>
                <c:pt idx="2">
                  <c:v>319169.75000000006</c:v>
                </c:pt>
                <c:pt idx="3">
                  <c:v>166103.83000000002</c:v>
                </c:pt>
                <c:pt idx="4">
                  <c:v>277487.96999999991</c:v>
                </c:pt>
                <c:pt idx="5">
                  <c:v>266714.96999999997</c:v>
                </c:pt>
                <c:pt idx="6">
                  <c:v>287690.28999999998</c:v>
                </c:pt>
                <c:pt idx="7">
                  <c:v>208089.03</c:v>
                </c:pt>
                <c:pt idx="8">
                  <c:v>286575.96999999997</c:v>
                </c:pt>
                <c:pt idx="9">
                  <c:v>214809.55000000002</c:v>
                </c:pt>
                <c:pt idx="10">
                  <c:v>174612.51</c:v>
                </c:pt>
                <c:pt idx="11">
                  <c:v>152901.77000000002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1-4B3D-9B8C-2E6406F40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3659423"/>
        <c:axId val="1683666623"/>
      </c:barChart>
      <c:catAx>
        <c:axId val="168365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66623"/>
        <c:crosses val="autoZero"/>
        <c:auto val="1"/>
        <c:lblAlgn val="ctr"/>
        <c:lblOffset val="100"/>
        <c:noMultiLvlLbl val="0"/>
      </c:catAx>
      <c:valAx>
        <c:axId val="16836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365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[clean_business_data.xlsx]Pivots!Revenue by Category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Revenue by catagory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Pivots!$A$21:$A$26</c:f>
              <c:strCache>
                <c:ptCount val="5"/>
                <c:pt idx="0">
                  <c:v>Consumables</c:v>
                </c:pt>
                <c:pt idx="1">
                  <c:v>Maintenance</c:v>
                </c:pt>
                <c:pt idx="2">
                  <c:v>Product</c:v>
                </c:pt>
                <c:pt idx="3">
                  <c:v>Service</c:v>
                </c:pt>
                <c:pt idx="4">
                  <c:v>Support</c:v>
                </c:pt>
              </c:strCache>
            </c:strRef>
          </c:cat>
          <c:val>
            <c:numRef>
              <c:f>Pivots!$B$21:$B$26</c:f>
              <c:numCache>
                <c:formatCode>"R"#\ ##0.00</c:formatCode>
                <c:ptCount val="5"/>
                <c:pt idx="0">
                  <c:v>462164.78000000009</c:v>
                </c:pt>
                <c:pt idx="1">
                  <c:v>1398654.83</c:v>
                </c:pt>
                <c:pt idx="2">
                  <c:v>3317931.6800000006</c:v>
                </c:pt>
                <c:pt idx="3">
                  <c:v>2494470.7600000012</c:v>
                </c:pt>
                <c:pt idx="4">
                  <c:v>525123.35000000009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4-4E43-BA0F-15781D21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1091551"/>
        <c:axId val="1471090591"/>
      </c:barChart>
      <c:catAx>
        <c:axId val="147109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090591"/>
        <c:crosses val="autoZero"/>
        <c:auto val="1"/>
        <c:lblAlgn val="ctr"/>
        <c:lblOffset val="100"/>
        <c:noMultiLvlLbl val="0"/>
      </c:catAx>
      <c:valAx>
        <c:axId val="147109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7109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[clean_business_data.xlsx]Pivots!Gross Profit by Category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Gross Profit by Catagory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Pivots!$F$20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Pivots!$E$21:$E$26</c:f>
              <c:strCache>
                <c:ptCount val="5"/>
                <c:pt idx="0">
                  <c:v>Consumables</c:v>
                </c:pt>
                <c:pt idx="1">
                  <c:v>Maintenance</c:v>
                </c:pt>
                <c:pt idx="2">
                  <c:v>Product</c:v>
                </c:pt>
                <c:pt idx="3">
                  <c:v>Service</c:v>
                </c:pt>
                <c:pt idx="4">
                  <c:v>Support</c:v>
                </c:pt>
              </c:strCache>
            </c:strRef>
          </c:cat>
          <c:val>
            <c:numRef>
              <c:f>Pivots!$F$21:$F$26</c:f>
              <c:numCache>
                <c:formatCode>"R"#\ ##0.00</c:formatCode>
                <c:ptCount val="5"/>
                <c:pt idx="0">
                  <c:v>90983.62999999999</c:v>
                </c:pt>
                <c:pt idx="1">
                  <c:v>592635.76000000013</c:v>
                </c:pt>
                <c:pt idx="2">
                  <c:v>823511.56999999983</c:v>
                </c:pt>
                <c:pt idx="3">
                  <c:v>1110223.3099999998</c:v>
                </c:pt>
                <c:pt idx="4">
                  <c:v>317983.04000000004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7-40CB-A1CE-090732126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80831071"/>
        <c:axId val="1480831551"/>
      </c:barChart>
      <c:catAx>
        <c:axId val="148083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831551"/>
        <c:crosses val="autoZero"/>
        <c:auto val="1"/>
        <c:lblAlgn val="ctr"/>
        <c:lblOffset val="100"/>
        <c:noMultiLvlLbl val="0"/>
      </c:catAx>
      <c:valAx>
        <c:axId val="148083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8083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[clean_business_data.xlsx]Pivots!Top Customers by Revenue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Pivots!$A$36:$A$51</c:f>
              <c:strCache>
                <c:ptCount val="15"/>
                <c:pt idx="0">
                  <c:v>Goldline Projects</c:v>
                </c:pt>
                <c:pt idx="1">
                  <c:v>Alpha Mining</c:v>
                </c:pt>
                <c:pt idx="2">
                  <c:v>Rustenburg Crushers</c:v>
                </c:pt>
                <c:pt idx="3">
                  <c:v>Mzansi Aggregates</c:v>
                </c:pt>
                <c:pt idx="4">
                  <c:v>Titan Bulk Systems</c:v>
                </c:pt>
                <c:pt idx="5">
                  <c:v>Apex Industrial</c:v>
                </c:pt>
                <c:pt idx="6">
                  <c:v>Siyakhula Services</c:v>
                </c:pt>
                <c:pt idx="7">
                  <c:v>Ubuntu Resources</c:v>
                </c:pt>
                <c:pt idx="8">
                  <c:v>Khula Engineering</c:v>
                </c:pt>
                <c:pt idx="9">
                  <c:v>Imbokodo Materials</c:v>
                </c:pt>
                <c:pt idx="10">
                  <c:v>Platinum Works</c:v>
                </c:pt>
                <c:pt idx="11">
                  <c:v>Horizon Minerals</c:v>
                </c:pt>
                <c:pt idx="12">
                  <c:v>North Star Processing</c:v>
                </c:pt>
                <c:pt idx="13">
                  <c:v>Delta Plant Hire</c:v>
                </c:pt>
                <c:pt idx="14">
                  <c:v>Vuka Logistics</c:v>
                </c:pt>
              </c:strCache>
            </c:strRef>
          </c:cat>
          <c:val>
            <c:numRef>
              <c:f>Pivots!$B$36:$B$51</c:f>
              <c:numCache>
                <c:formatCode>"R"#\ ##0.00</c:formatCode>
                <c:ptCount val="15"/>
                <c:pt idx="0">
                  <c:v>1380181.9599999997</c:v>
                </c:pt>
                <c:pt idx="1">
                  <c:v>1062666.6399999999</c:v>
                </c:pt>
                <c:pt idx="2">
                  <c:v>937284.46</c:v>
                </c:pt>
                <c:pt idx="3">
                  <c:v>718931.03000000026</c:v>
                </c:pt>
                <c:pt idx="4">
                  <c:v>590352.74000000011</c:v>
                </c:pt>
                <c:pt idx="5">
                  <c:v>585886.02</c:v>
                </c:pt>
                <c:pt idx="6">
                  <c:v>535738.32000000007</c:v>
                </c:pt>
                <c:pt idx="7">
                  <c:v>471979.01</c:v>
                </c:pt>
                <c:pt idx="8">
                  <c:v>426419.53</c:v>
                </c:pt>
                <c:pt idx="9">
                  <c:v>352549.14</c:v>
                </c:pt>
                <c:pt idx="10">
                  <c:v>342296.31000000006</c:v>
                </c:pt>
                <c:pt idx="11">
                  <c:v>256801.19999999998</c:v>
                </c:pt>
                <c:pt idx="12">
                  <c:v>247172.19</c:v>
                </c:pt>
                <c:pt idx="13">
                  <c:v>170328.35</c:v>
                </c:pt>
                <c:pt idx="14">
                  <c:v>119758.5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7-4582-A60F-FC605D141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36970320"/>
        <c:axId val="536986160"/>
      </c:barChart>
      <c:catAx>
        <c:axId val="53697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86160"/>
        <c:crosses val="autoZero"/>
        <c:auto val="1"/>
        <c:lblAlgn val="ctr"/>
        <c:lblOffset val="100"/>
        <c:noMultiLvlLbl val="0"/>
      </c:catAx>
      <c:valAx>
        <c:axId val="5369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53697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[clean_business_data.xlsx]Pivots!Revenue by Region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Pivots!$F$35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Pivots!$E$36:$E$41</c:f>
              <c:strCache>
                <c:ptCount val="5"/>
                <c:pt idx="0">
                  <c:v>Free State</c:v>
                </c:pt>
                <c:pt idx="1">
                  <c:v>Gauteng</c:v>
                </c:pt>
                <c:pt idx="2">
                  <c:v>Limpopo</c:v>
                </c:pt>
                <c:pt idx="3">
                  <c:v>Mpumalanga</c:v>
                </c:pt>
                <c:pt idx="4">
                  <c:v>North West</c:v>
                </c:pt>
              </c:strCache>
            </c:strRef>
          </c:cat>
          <c:val>
            <c:numRef>
              <c:f>Pivots!$F$36:$F$41</c:f>
              <c:numCache>
                <c:formatCode>"R"#\ ##0.00</c:formatCode>
                <c:ptCount val="5"/>
                <c:pt idx="0">
                  <c:v>1328589.25</c:v>
                </c:pt>
                <c:pt idx="1">
                  <c:v>2638877.1800000006</c:v>
                </c:pt>
                <c:pt idx="2">
                  <c:v>876775.65</c:v>
                </c:pt>
                <c:pt idx="3">
                  <c:v>1252979.1600000001</c:v>
                </c:pt>
                <c:pt idx="4">
                  <c:v>2101124.1599999997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F-4B6E-87E7-D1DE0D194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3673343"/>
        <c:axId val="1683664703"/>
      </c:barChart>
      <c:catAx>
        <c:axId val="168367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64703"/>
        <c:crosses val="autoZero"/>
        <c:auto val="1"/>
        <c:lblAlgn val="ctr"/>
        <c:lblOffset val="100"/>
        <c:noMultiLvlLbl val="0"/>
      </c:catAx>
      <c:valAx>
        <c:axId val="16836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8367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4</xdr:row>
      <xdr:rowOff>190499</xdr:rowOff>
    </xdr:from>
    <xdr:to>
      <xdr:col>3</xdr:col>
      <xdr:colOff>2286000</xdr:colOff>
      <xdr:row>19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B7C367-5972-4BD0-AFE0-A1A36847C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4</xdr:row>
      <xdr:rowOff>190499</xdr:rowOff>
    </xdr:from>
    <xdr:to>
      <xdr:col>10</xdr:col>
      <xdr:colOff>9525</xdr:colOff>
      <xdr:row>19</xdr:row>
      <xdr:rowOff>180974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DA783A-4634-434E-BD59-724812306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22</xdr:row>
      <xdr:rowOff>9524</xdr:rowOff>
    </xdr:from>
    <xdr:to>
      <xdr:col>3</xdr:col>
      <xdr:colOff>2247900</xdr:colOff>
      <xdr:row>36</xdr:row>
      <xdr:rowOff>190499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DBEAB69-AB7F-4D27-BFAD-AED06D09D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161925</xdr:colOff>
      <xdr:row>22</xdr:row>
      <xdr:rowOff>9525</xdr:rowOff>
    </xdr:from>
    <xdr:to>
      <xdr:col>9</xdr:col>
      <xdr:colOff>2778125</xdr:colOff>
      <xdr:row>36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D87F58-10F0-42C1-AC9D-1D6CA69D4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9524</xdr:colOff>
      <xdr:row>38</xdr:row>
      <xdr:rowOff>180975</xdr:rowOff>
    </xdr:from>
    <xdr:to>
      <xdr:col>3</xdr:col>
      <xdr:colOff>2228849</xdr:colOff>
      <xdr:row>54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EEEEAA8-AB63-4E93-8C7D-8B61444F9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171450</xdr:colOff>
      <xdr:row>39</xdr:row>
      <xdr:rowOff>9525</xdr:rowOff>
    </xdr:from>
    <xdr:to>
      <xdr:col>9</xdr:col>
      <xdr:colOff>2762250</xdr:colOff>
      <xdr:row>54</xdr:row>
      <xdr:rowOff>171451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CA9CB3-26E7-410E-899C-8F4F8A587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10</xdr:col>
      <xdr:colOff>343203</xdr:colOff>
      <xdr:row>11</xdr:row>
      <xdr:rowOff>71861</xdr:rowOff>
    </xdr:from>
    <xdr:ext cx="5799666" cy="32286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96CD8B4-F6BB-C4B8-905F-22A38DBC589C}"/>
            </a:ext>
          </a:extLst>
        </xdr:cNvPr>
        <xdr:cNvSpPr txBox="1"/>
      </xdr:nvSpPr>
      <xdr:spPr>
        <a:xfrm>
          <a:off x="12848167" y="2317040"/>
          <a:ext cx="5799666" cy="3228627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ZA" sz="1800" b="1" u="sng">
              <a:latin typeface="Lucida Console" panose="020B0609040504020204" pitchFamily="49" charset="0"/>
            </a:rPr>
            <a:t>Key Insights</a:t>
          </a:r>
        </a:p>
        <a:p>
          <a:pPr algn="ctr"/>
          <a:endParaRPr lang="en-ZA" sz="1600" b="1" u="sng">
            <a:latin typeface="Aptos Display" panose="020B0004020202020204" pitchFamily="34" charset="0"/>
          </a:endParaRPr>
        </a:p>
        <a:p>
          <a:r>
            <a:rPr lang="en-ZA" sz="1800"/>
            <a:t>-Revenue is strongest in the </a:t>
          </a:r>
          <a:r>
            <a:rPr lang="en-ZA" sz="1800" b="1"/>
            <a:t>Product</a:t>
          </a:r>
          <a:r>
            <a:rPr lang="en-ZA" sz="1800"/>
            <a:t> category.</a:t>
          </a:r>
        </a:p>
        <a:p>
          <a:endParaRPr lang="en-ZA" sz="1800"/>
        </a:p>
        <a:p>
          <a:r>
            <a:rPr lang="en-ZA" sz="1800"/>
            <a:t>-Gross profit is highest in </a:t>
          </a:r>
          <a:r>
            <a:rPr lang="en-ZA" sz="1800" b="1"/>
            <a:t>Service</a:t>
          </a:r>
          <a:r>
            <a:rPr lang="en-ZA" sz="1800" b="1" baseline="0"/>
            <a:t> Catagory</a:t>
          </a:r>
          <a:r>
            <a:rPr lang="en-ZA" sz="1800"/>
            <a:t>.</a:t>
          </a:r>
        </a:p>
        <a:p>
          <a:endParaRPr lang="en-ZA" sz="1800"/>
        </a:p>
        <a:p>
          <a:r>
            <a:rPr lang="en-ZA" sz="1800"/>
            <a:t>-A small number of customers contribute a large share of total revenue.</a:t>
          </a:r>
        </a:p>
        <a:p>
          <a:endParaRPr lang="en-ZA" sz="1800"/>
        </a:p>
        <a:p>
          <a:r>
            <a:rPr lang="en-ZA" sz="1800" b="1"/>
            <a:t>-Gauteng</a:t>
          </a:r>
          <a:r>
            <a:rPr lang="en-ZA" sz="1800"/>
            <a:t> is the strongest region by revenue</a:t>
          </a:r>
          <a:r>
            <a:rPr lang="en-ZA" sz="1600"/>
            <a:t>.</a:t>
          </a:r>
        </a:p>
        <a:p>
          <a:pPr algn="l"/>
          <a:endParaRPr lang="en-ZA" sz="1600" b="1" u="sng">
            <a:latin typeface="Aptos Display" panose="020B0004020202020204" pitchFamily="34" charset="0"/>
          </a:endParaRPr>
        </a:p>
        <a:p>
          <a:pPr algn="ctr"/>
          <a:endParaRPr lang="en-ZA" sz="1600" b="1" u="sng">
            <a:latin typeface="Aptos Display" panose="020B0004020202020204" pitchFamily="34" charset="0"/>
          </a:endParaRPr>
        </a:p>
      </xdr:txBody>
    </xdr:sp>
    <xdr:clientData/>
  </xdr:oneCellAnchor>
  <xdr:oneCellAnchor>
    <xdr:from>
      <xdr:col>10</xdr:col>
      <xdr:colOff>288773</xdr:colOff>
      <xdr:row>34</xdr:row>
      <xdr:rowOff>153203</xdr:rowOff>
    </xdr:from>
    <xdr:ext cx="6127750" cy="2782535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9BA5F94-3833-4E3F-A459-94BCC92E50AA}"/>
            </a:ext>
          </a:extLst>
        </xdr:cNvPr>
        <xdr:cNvSpPr txBox="1"/>
      </xdr:nvSpPr>
      <xdr:spPr>
        <a:xfrm>
          <a:off x="13560273" y="6757203"/>
          <a:ext cx="6127750" cy="2782535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ZA" sz="1800" b="1" u="sng">
              <a:latin typeface="Lucida Console" panose="020B0609040504020204" pitchFamily="49" charset="0"/>
            </a:rPr>
            <a:t>Recommendations</a:t>
          </a:r>
        </a:p>
        <a:p>
          <a:pPr algn="ctr"/>
          <a:endParaRPr lang="en-ZA" sz="1600" b="1" u="sng">
            <a:latin typeface="Aptos Display" panose="020B0004020202020204" pitchFamily="34" charset="0"/>
          </a:endParaRPr>
        </a:p>
        <a:p>
          <a:r>
            <a:rPr lang="en-ZA" sz="1800"/>
            <a:t>-Focus sales effort on higher-margin categories.</a:t>
          </a:r>
        </a:p>
        <a:p>
          <a:endParaRPr lang="en-ZA" sz="1800"/>
        </a:p>
        <a:p>
          <a:r>
            <a:rPr lang="en-ZA" sz="1800"/>
            <a:t>-Reduce dependence on the top few customers.</a:t>
          </a:r>
        </a:p>
        <a:p>
          <a:endParaRPr lang="en-ZA" sz="1800"/>
        </a:p>
        <a:p>
          <a:r>
            <a:rPr lang="en-ZA" sz="1800"/>
            <a:t>-Review lower-margin categories monthly, not just revenue.</a:t>
          </a:r>
        </a:p>
        <a:p>
          <a:endParaRPr lang="en-ZA" sz="1800" b="1" u="sng">
            <a:latin typeface="Aptos Display" panose="020B0004020202020204" pitchFamily="34" charset="0"/>
          </a:endParaRPr>
        </a:p>
        <a:p>
          <a:pPr algn="ctr"/>
          <a:endParaRPr lang="en-ZA" sz="1600" b="1" u="sng">
            <a:latin typeface="Aptos Display" panose="020B000402020202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 Bouwer" refreshedDate="46105.628590740744" createdVersion="8" refreshedVersion="8" minRefreshableVersion="3" recordCount="200" xr:uid="{9ABE8EC7-A3CB-4CA0-8103-39B301B35680}">
  <cacheSource type="worksheet">
    <worksheetSource name="tblRawBusinessData3"/>
  </cacheSource>
  <cacheFields count="19">
    <cacheField name="Date" numFmtId="164">
      <sharedItems containsSemiMixedTypes="0" containsNonDate="0" containsDate="1" containsString="0" minDate="2025-01-02T00:00:00" maxDate="2025-12-31T00:00:00"/>
    </cacheField>
    <cacheField name="Customer" numFmtId="0">
      <sharedItems count="15">
        <s v="Rustenburg Crushers"/>
        <s v="Delta Plant Hire"/>
        <s v="Siyakhula Services"/>
        <s v="Khula Engineering"/>
        <s v="Apex Industrial"/>
        <s v="North Star Processing"/>
        <s v="Goldline Projects"/>
        <s v="Platinum Works"/>
        <s v="Alpha Mining"/>
        <s v="Titan Bulk Systems"/>
        <s v="Ubuntu Resources"/>
        <s v="Mzansi Aggregates"/>
        <s v="Imbokodo Materials"/>
        <s v="Horizon Minerals"/>
        <s v="Vuka Logistics"/>
      </sharedItems>
    </cacheField>
    <cacheField name="Category" numFmtId="0">
      <sharedItems count="5">
        <s v="Maintenance"/>
        <s v="Product"/>
        <s v="Service"/>
        <s v="Consumables"/>
        <s v="Support"/>
      </sharedItems>
    </cacheField>
    <cacheField name="Product_Service" numFmtId="0">
      <sharedItems/>
    </cacheField>
    <cacheField name="Quantity" numFmtId="1">
      <sharedItems containsSemiMixedTypes="0" containsString="0" containsNumber="1" containsInteger="1" minValue="1" maxValue="15"/>
    </cacheField>
    <cacheField name="Unit_Price" numFmtId="4">
      <sharedItems containsSemiMixedTypes="0" containsString="0" containsNumber="1" minValue="827.84" maxValue="72852.62"/>
    </cacheField>
    <cacheField name="Revenue" numFmtId="4">
      <sharedItems containsSemiMixedTypes="0" containsString="0" containsNumber="1" minValue="1236.9000000000001" maxValue="291410.48"/>
    </cacheField>
    <cacheField name="Direct_Cost" numFmtId="4">
      <sharedItems containsSemiMixedTypes="0" containsString="0" containsNumber="1" minValue="950.22" maxValue="235927.95"/>
    </cacheField>
    <cacheField name="Gross_Profit" numFmtId="4">
      <sharedItems containsSemiMixedTypes="0" containsString="0" containsNumber="1" minValue="286.68" maxValue="60973.89"/>
    </cacheField>
    <cacheField name="Region" numFmtId="0">
      <sharedItems count="5">
        <s v="Gauteng"/>
        <s v="Mpumalanga"/>
        <s v="Limpopo"/>
        <s v="Free State"/>
        <s v="North West"/>
      </sharedItems>
    </cacheField>
    <cacheField name="Salesperson" numFmtId="0">
      <sharedItems/>
    </cacheField>
    <cacheField name="Check_Revenue" numFmtId="0">
      <sharedItems containsSemiMixedTypes="0" containsString="0" containsNumber="1" containsInteger="1" minValue="0" maxValue="0"/>
    </cacheField>
    <cacheField name="Check_Gross_Profit" numFmtId="4">
      <sharedItems containsSemiMixedTypes="0" containsString="0" containsNumber="1" containsInteger="1" minValue="0" maxValue="0"/>
    </cacheField>
    <cacheField name="Check_Cost_Valid" numFmtId="0">
      <sharedItems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Quarter" numFmtId="0">
      <sharedItems/>
    </cacheField>
    <cacheField name="Year" numFmtId="0">
      <sharedItems containsSemiMixedTypes="0" containsString="0" containsNumber="1" containsInteger="1" minValue="2025" maxValue="2025"/>
    </cacheField>
    <cacheField name="Gross_Margin_Pct" numFmtId="10">
      <sharedItems containsSemiMixedTypes="0" containsString="0" containsNumber="1" minValue="0.12021974807583322" maxValue="0.74248103328671933"/>
    </cacheField>
    <cacheField name="Revenue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5-01-02T00:00:00"/>
    <x v="0"/>
    <x v="0"/>
    <s v="Maintenance Visit"/>
    <n v="3"/>
    <n v="6310.17"/>
    <n v="18930.509999999998"/>
    <n v="11744.79"/>
    <n v="7185.72"/>
    <x v="0"/>
    <s v="Carel"/>
    <n v="0"/>
    <n v="0"/>
    <s v="Valid"/>
    <x v="0"/>
    <s v="Q1"/>
    <n v="2025"/>
    <n v="0.37958406825806601"/>
    <s v="Medium"/>
  </r>
  <r>
    <d v="2025-01-03T00:00:00"/>
    <x v="1"/>
    <x v="0"/>
    <s v="Site Inspection"/>
    <n v="3"/>
    <n v="4014.39"/>
    <n v="12043.17"/>
    <n v="6272.88"/>
    <n v="5770.29"/>
    <x v="1"/>
    <s v="Lerato"/>
    <n v="0"/>
    <n v="0"/>
    <s v="Valid"/>
    <x v="0"/>
    <s v="Q1"/>
    <n v="2025"/>
    <n v="0.4791338160965925"/>
    <s v="Medium"/>
  </r>
  <r>
    <d v="2025-01-10T00:00:00"/>
    <x v="2"/>
    <x v="1"/>
    <s v="Industrial Rollers"/>
    <n v="7"/>
    <n v="9854.83"/>
    <n v="68983.81"/>
    <n v="53814.41"/>
    <n v="15169.4"/>
    <x v="0"/>
    <s v="Pieter"/>
    <n v="0"/>
    <n v="0"/>
    <s v="Valid"/>
    <x v="0"/>
    <s v="Q1"/>
    <n v="2025"/>
    <n v="0.21989797316210863"/>
    <s v="Large"/>
  </r>
  <r>
    <d v="2025-01-12T00:00:00"/>
    <x v="3"/>
    <x v="2"/>
    <s v="Emergency Callout"/>
    <n v="1"/>
    <n v="18595.73"/>
    <n v="18595.73"/>
    <n v="9420.57"/>
    <n v="9175.16"/>
    <x v="2"/>
    <s v="Lerato"/>
    <n v="0"/>
    <n v="0"/>
    <s v="Valid"/>
    <x v="0"/>
    <s v="Q1"/>
    <n v="2025"/>
    <n v="0.49340144215903331"/>
    <s v="Medium"/>
  </r>
  <r>
    <d v="2025-01-13T00:00:00"/>
    <x v="0"/>
    <x v="2"/>
    <s v="Cold Splicing"/>
    <n v="1"/>
    <n v="28615.54"/>
    <n v="28615.54"/>
    <n v="14763.47"/>
    <n v="13852.07"/>
    <x v="3"/>
    <s v="Thabo"/>
    <n v="0"/>
    <n v="0"/>
    <s v="Valid"/>
    <x v="0"/>
    <s v="Q1"/>
    <n v="2025"/>
    <n v="0.48407508647399278"/>
    <s v="Medium"/>
  </r>
  <r>
    <d v="2025-01-17T00:00:00"/>
    <x v="2"/>
    <x v="2"/>
    <s v="Repair Service"/>
    <n v="3"/>
    <n v="17830.04"/>
    <n v="53490.12"/>
    <n v="29403.45"/>
    <n v="24086.67"/>
    <x v="4"/>
    <s v="Carel"/>
    <n v="0"/>
    <n v="0"/>
    <s v="Valid"/>
    <x v="0"/>
    <s v="Q1"/>
    <n v="2025"/>
    <n v="0.45030128928482488"/>
    <s v="Large"/>
  </r>
  <r>
    <d v="2025-01-17T00:00:00"/>
    <x v="4"/>
    <x v="2"/>
    <s v="Cold Splicing"/>
    <n v="1"/>
    <n v="40094.300000000003"/>
    <n v="40094.300000000003"/>
    <n v="18591.900000000001"/>
    <n v="21502.400000000001"/>
    <x v="0"/>
    <s v="Lerato"/>
    <n v="0"/>
    <n v="0"/>
    <s v="Valid"/>
    <x v="0"/>
    <s v="Q1"/>
    <n v="2025"/>
    <n v="0.53629568292749841"/>
    <s v="Large"/>
  </r>
  <r>
    <d v="2025-01-18T00:00:00"/>
    <x v="3"/>
    <x v="3"/>
    <s v="Consumable Kit"/>
    <n v="6"/>
    <n v="5104.84"/>
    <n v="30629.040000000001"/>
    <n v="22910.959999999999"/>
    <n v="7718.08"/>
    <x v="1"/>
    <s v="Thabo"/>
    <n v="0"/>
    <n v="0"/>
    <s v="Valid"/>
    <x v="0"/>
    <s v="Q1"/>
    <n v="2025"/>
    <n v="0.25198569723373632"/>
    <s v="Large"/>
  </r>
  <r>
    <d v="2025-01-18T00:00:00"/>
    <x v="5"/>
    <x v="4"/>
    <s v="Technical Support Visit"/>
    <n v="2"/>
    <n v="6262.71"/>
    <n v="12525.42"/>
    <n v="4480.6000000000004"/>
    <n v="8044.82"/>
    <x v="4"/>
    <s v="Thabo"/>
    <n v="0"/>
    <n v="0"/>
    <s v="Valid"/>
    <x v="0"/>
    <s v="Q1"/>
    <n v="2025"/>
    <n v="0.64227946048914919"/>
    <s v="Medium"/>
  </r>
  <r>
    <d v="2025-01-23T00:00:00"/>
    <x v="0"/>
    <x v="0"/>
    <s v="Maintenance Visit"/>
    <n v="3"/>
    <n v="17118.78"/>
    <n v="51356.34"/>
    <n v="27055"/>
    <n v="24301.34"/>
    <x v="2"/>
    <s v="Carel"/>
    <n v="0"/>
    <n v="0"/>
    <s v="Valid"/>
    <x v="0"/>
    <s v="Q1"/>
    <n v="2025"/>
    <n v="0.47319065182604525"/>
    <s v="Large"/>
  </r>
  <r>
    <d v="2025-01-24T00:00:00"/>
    <x v="6"/>
    <x v="1"/>
    <s v="Belt Supply"/>
    <n v="3"/>
    <n v="58208.45"/>
    <n v="174625.35"/>
    <n v="123429.15"/>
    <n v="51196.2"/>
    <x v="4"/>
    <s v="Carel"/>
    <n v="0"/>
    <n v="0"/>
    <s v="Valid"/>
    <x v="0"/>
    <s v="Q1"/>
    <n v="2025"/>
    <n v="0.29317736514200254"/>
    <s v="Large"/>
  </r>
  <r>
    <d v="2025-01-24T00:00:00"/>
    <x v="5"/>
    <x v="4"/>
    <s v="Technical Support Visit"/>
    <n v="3"/>
    <n v="11746.99"/>
    <n v="35240.97"/>
    <n v="15942.75"/>
    <n v="19298.22"/>
    <x v="4"/>
    <s v="Carel"/>
    <n v="0"/>
    <n v="0"/>
    <s v="Valid"/>
    <x v="0"/>
    <s v="Q1"/>
    <n v="2025"/>
    <n v="0.54760751477612568"/>
    <s v="Large"/>
  </r>
  <r>
    <d v="2025-01-25T00:00:00"/>
    <x v="7"/>
    <x v="0"/>
    <s v="Site Inspection"/>
    <n v="2"/>
    <n v="5323"/>
    <n v="10646"/>
    <n v="6571.47"/>
    <n v="4074.53"/>
    <x v="2"/>
    <s v="Carel"/>
    <n v="0"/>
    <n v="0"/>
    <s v="Valid"/>
    <x v="0"/>
    <s v="Q1"/>
    <n v="2025"/>
    <n v="0.38272872440353184"/>
    <s v="Medium"/>
  </r>
  <r>
    <d v="2025-01-27T00:00:00"/>
    <x v="6"/>
    <x v="1"/>
    <s v="Industrial Rollers"/>
    <n v="5"/>
    <n v="17856.439999999999"/>
    <n v="89282.2"/>
    <n v="71688.05"/>
    <n v="17594.150000000001"/>
    <x v="0"/>
    <s v="Lerato"/>
    <n v="0"/>
    <n v="0"/>
    <s v="Valid"/>
    <x v="0"/>
    <s v="Q1"/>
    <n v="2025"/>
    <n v="0.19706223636962353"/>
    <s v="Large"/>
  </r>
  <r>
    <d v="2025-01-29T00:00:00"/>
    <x v="8"/>
    <x v="0"/>
    <s v="Maintenance Visit"/>
    <n v="1"/>
    <n v="6742.56"/>
    <n v="6742.56"/>
    <n v="3455.28"/>
    <n v="3287.28"/>
    <x v="1"/>
    <s v="Pieter"/>
    <n v="0"/>
    <n v="0"/>
    <s v="Valid"/>
    <x v="0"/>
    <s v="Q1"/>
    <n v="2025"/>
    <n v="0.48754182387698441"/>
    <s v="Small"/>
  </r>
  <r>
    <d v="2025-01-30T00:00:00"/>
    <x v="2"/>
    <x v="4"/>
    <s v="Technical Support Visit"/>
    <n v="1"/>
    <n v="10758.99"/>
    <n v="10758.99"/>
    <n v="4466.6099999999997"/>
    <n v="6292.38"/>
    <x v="3"/>
    <s v="Pieter"/>
    <n v="0"/>
    <n v="0"/>
    <s v="Valid"/>
    <x v="0"/>
    <s v="Q1"/>
    <n v="2025"/>
    <n v="0.58484857779401234"/>
    <s v="Medium"/>
  </r>
  <r>
    <d v="2025-01-30T00:00:00"/>
    <x v="9"/>
    <x v="1"/>
    <s v="Belt Supply"/>
    <n v="4"/>
    <n v="50715.38"/>
    <n v="202861.52"/>
    <n v="141887.63"/>
    <n v="60973.89"/>
    <x v="1"/>
    <s v="Thabo"/>
    <n v="0"/>
    <n v="0"/>
    <s v="Valid"/>
    <x v="0"/>
    <s v="Q1"/>
    <n v="2025"/>
    <n v="0.30056902856687656"/>
    <s v="Large"/>
  </r>
  <r>
    <d v="2025-01-31T00:00:00"/>
    <x v="5"/>
    <x v="4"/>
    <s v="Technical Support Visit"/>
    <n v="1"/>
    <n v="6117.27"/>
    <n v="6117.27"/>
    <n v="2376.41"/>
    <n v="3740.86"/>
    <x v="0"/>
    <s v="Thabo"/>
    <n v="0"/>
    <n v="0"/>
    <s v="Valid"/>
    <x v="0"/>
    <s v="Q1"/>
    <n v="2025"/>
    <n v="0.61152442184176925"/>
    <s v="Small"/>
  </r>
  <r>
    <d v="2025-01-31T00:00:00"/>
    <x v="4"/>
    <x v="2"/>
    <s v="Emergency Callout"/>
    <n v="1"/>
    <n v="28951.8"/>
    <n v="28951.8"/>
    <n v="15405.51"/>
    <n v="13546.29"/>
    <x v="3"/>
    <s v="Carel"/>
    <n v="0"/>
    <n v="0"/>
    <s v="Valid"/>
    <x v="0"/>
    <s v="Q1"/>
    <n v="2025"/>
    <n v="0.46789111557830604"/>
    <s v="Medium"/>
  </r>
  <r>
    <d v="2025-01-31T00:00:00"/>
    <x v="5"/>
    <x v="0"/>
    <s v="Site Inspection"/>
    <n v="2"/>
    <n v="3013.68"/>
    <n v="6027.36"/>
    <n v="3794.91"/>
    <n v="2232.4499999999998"/>
    <x v="4"/>
    <s v="Pieter"/>
    <n v="0"/>
    <n v="0"/>
    <s v="Valid"/>
    <x v="0"/>
    <s v="Q1"/>
    <n v="2025"/>
    <n v="0.37038603965915423"/>
    <s v="Small"/>
  </r>
  <r>
    <d v="2025-02-06T00:00:00"/>
    <x v="10"/>
    <x v="2"/>
    <s v="Repair Service"/>
    <n v="3"/>
    <n v="14537.07"/>
    <n v="43611.21"/>
    <n v="24102.63"/>
    <n v="19508.580000000002"/>
    <x v="1"/>
    <s v="Carel"/>
    <n v="0"/>
    <n v="0"/>
    <s v="Valid"/>
    <x v="1"/>
    <s v="Q1"/>
    <n v="2025"/>
    <n v="0.44732948248856202"/>
    <s v="Large"/>
  </r>
  <r>
    <d v="2025-02-09T00:00:00"/>
    <x v="5"/>
    <x v="4"/>
    <s v="Monthly Support Package"/>
    <n v="1"/>
    <n v="13542.31"/>
    <n v="13542.31"/>
    <n v="4063.2"/>
    <n v="9479.11"/>
    <x v="3"/>
    <s v="James"/>
    <n v="0"/>
    <n v="0"/>
    <s v="Valid"/>
    <x v="1"/>
    <s v="Q1"/>
    <n v="2025"/>
    <n v="0.69996256177860361"/>
    <s v="Medium"/>
  </r>
  <r>
    <d v="2025-02-10T00:00:00"/>
    <x v="8"/>
    <x v="2"/>
    <s v="Repair Service"/>
    <n v="3"/>
    <n v="19272.240000000002"/>
    <n v="57816.72"/>
    <n v="26547.41"/>
    <n v="31269.31"/>
    <x v="0"/>
    <s v="James"/>
    <n v="0"/>
    <n v="0"/>
    <s v="Valid"/>
    <x v="1"/>
    <s v="Q1"/>
    <n v="2025"/>
    <n v="0.54083507331443226"/>
    <s v="Large"/>
  </r>
  <r>
    <d v="2025-02-10T00:00:00"/>
    <x v="10"/>
    <x v="4"/>
    <s v="Technical Support Visit"/>
    <n v="2"/>
    <n v="5445.44"/>
    <n v="10890.88"/>
    <n v="3963.65"/>
    <n v="6927.23"/>
    <x v="3"/>
    <s v="Carel"/>
    <n v="0"/>
    <n v="0"/>
    <s v="Valid"/>
    <x v="1"/>
    <s v="Q1"/>
    <n v="2025"/>
    <n v="0.63605787594758179"/>
    <s v="Medium"/>
  </r>
  <r>
    <d v="2025-02-12T00:00:00"/>
    <x v="10"/>
    <x v="4"/>
    <s v="Technical Support Visit"/>
    <n v="4"/>
    <n v="9365.7800000000007"/>
    <n v="37463.120000000003"/>
    <n v="14501.88"/>
    <n v="22961.24"/>
    <x v="1"/>
    <s v="Lerato"/>
    <n v="0"/>
    <n v="0"/>
    <s v="Valid"/>
    <x v="1"/>
    <s v="Q1"/>
    <n v="2025"/>
    <n v="0.61290250251447287"/>
    <s v="Large"/>
  </r>
  <r>
    <d v="2025-02-12T00:00:00"/>
    <x v="2"/>
    <x v="4"/>
    <s v="Support Retainer"/>
    <n v="1"/>
    <n v="14389.39"/>
    <n v="14389.39"/>
    <n v="4962.29"/>
    <n v="9427.1"/>
    <x v="1"/>
    <s v="Carel"/>
    <n v="0"/>
    <n v="0"/>
    <s v="Valid"/>
    <x v="1"/>
    <s v="Q1"/>
    <n v="2025"/>
    <n v="0.65514243480786893"/>
    <s v="Medium"/>
  </r>
  <r>
    <d v="2025-02-12T00:00:00"/>
    <x v="9"/>
    <x v="0"/>
    <s v="Pulley Lagging"/>
    <n v="3"/>
    <n v="24041.279999999999"/>
    <n v="72123.839999999997"/>
    <n v="40204.78"/>
    <n v="31919.06"/>
    <x v="4"/>
    <s v="James"/>
    <n v="0"/>
    <n v="0"/>
    <s v="Valid"/>
    <x v="1"/>
    <s v="Q1"/>
    <n v="2025"/>
    <n v="0.44255907616677098"/>
    <s v="Large"/>
  </r>
  <r>
    <d v="2025-02-12T00:00:00"/>
    <x v="3"/>
    <x v="3"/>
    <s v="Splicing Tools Refill"/>
    <n v="11"/>
    <n v="2682.26"/>
    <n v="29504.86"/>
    <n v="23240.09"/>
    <n v="6264.77"/>
    <x v="2"/>
    <s v="Carel"/>
    <n v="0"/>
    <n v="0"/>
    <s v="Valid"/>
    <x v="1"/>
    <s v="Q1"/>
    <n v="2025"/>
    <n v="0.21233010426078958"/>
    <s v="Medium"/>
  </r>
  <r>
    <d v="2025-02-14T00:00:00"/>
    <x v="11"/>
    <x v="1"/>
    <s v="Industrial Rollers"/>
    <n v="6"/>
    <n v="13955.2"/>
    <n v="83731.199999999997"/>
    <n v="63280.93"/>
    <n v="20450.27"/>
    <x v="0"/>
    <s v="Lerato"/>
    <n v="0"/>
    <n v="0"/>
    <s v="Valid"/>
    <x v="1"/>
    <s v="Q1"/>
    <n v="2025"/>
    <n v="0.24423715413131547"/>
    <s v="Large"/>
  </r>
  <r>
    <d v="2025-02-14T00:00:00"/>
    <x v="12"/>
    <x v="3"/>
    <s v="Adhesive Pack"/>
    <n v="9"/>
    <n v="2309.1"/>
    <n v="20781.900000000001"/>
    <n v="17199.990000000002"/>
    <n v="3581.91"/>
    <x v="4"/>
    <s v="Carel"/>
    <n v="0"/>
    <n v="0"/>
    <s v="Valid"/>
    <x v="1"/>
    <s v="Q1"/>
    <n v="2025"/>
    <n v="0.1723571954441124"/>
    <s v="Medium"/>
  </r>
  <r>
    <d v="2025-02-17T00:00:00"/>
    <x v="10"/>
    <x v="2"/>
    <s v="Emergency Callout"/>
    <n v="2"/>
    <n v="11867.74"/>
    <n v="23735.48"/>
    <n v="16191"/>
    <n v="7544.48"/>
    <x v="4"/>
    <s v="Lerato"/>
    <n v="0"/>
    <n v="0"/>
    <s v="Valid"/>
    <x v="1"/>
    <s v="Q1"/>
    <n v="2025"/>
    <n v="0.3178566433036113"/>
    <s v="Medium"/>
  </r>
  <r>
    <d v="2025-02-17T00:00:00"/>
    <x v="2"/>
    <x v="2"/>
    <s v="Repair Service"/>
    <n v="4"/>
    <n v="16752.63"/>
    <n v="67010.52"/>
    <n v="40776.160000000003"/>
    <n v="26234.36"/>
    <x v="0"/>
    <s v="Carel"/>
    <n v="0"/>
    <n v="0"/>
    <s v="Valid"/>
    <x v="1"/>
    <s v="Q1"/>
    <n v="2025"/>
    <n v="0.39149614120290366"/>
    <s v="Large"/>
  </r>
  <r>
    <d v="2025-02-21T00:00:00"/>
    <x v="1"/>
    <x v="0"/>
    <s v="Site Inspection"/>
    <n v="2"/>
    <n v="2734.85"/>
    <n v="5469.7"/>
    <n v="3431.54"/>
    <n v="2038.16"/>
    <x v="2"/>
    <s v="Thabo"/>
    <n v="0"/>
    <n v="0"/>
    <s v="Valid"/>
    <x v="1"/>
    <s v="Q1"/>
    <n v="2025"/>
    <n v="0.37262738358593711"/>
    <s v="Small"/>
  </r>
  <r>
    <d v="2025-02-21T00:00:00"/>
    <x v="1"/>
    <x v="3"/>
    <s v="Adhesive Pack"/>
    <n v="12"/>
    <n v="1039.3800000000001"/>
    <n v="12472.56"/>
    <n v="9277.98"/>
    <n v="3194.58"/>
    <x v="3"/>
    <s v="James"/>
    <n v="0"/>
    <n v="0"/>
    <s v="Valid"/>
    <x v="1"/>
    <s v="Q1"/>
    <n v="2025"/>
    <n v="0.25612865362042758"/>
    <s v="Medium"/>
  </r>
  <r>
    <d v="2025-02-22T00:00:00"/>
    <x v="13"/>
    <x v="3"/>
    <s v="Adhesive Pack"/>
    <n v="15"/>
    <n v="2302.1799999999998"/>
    <n v="34532.699999999997"/>
    <n v="28474.47"/>
    <n v="6058.23"/>
    <x v="4"/>
    <s v="Carel"/>
    <n v="0"/>
    <n v="0"/>
    <s v="Valid"/>
    <x v="1"/>
    <s v="Q1"/>
    <n v="2025"/>
    <n v="0.17543458808607493"/>
    <s v="Large"/>
  </r>
  <r>
    <d v="2025-02-23T00:00:00"/>
    <x v="2"/>
    <x v="2"/>
    <s v="Repair Service"/>
    <n v="3"/>
    <n v="19294.939999999999"/>
    <n v="57884.82"/>
    <n v="36961.5"/>
    <n v="20923.32"/>
    <x v="4"/>
    <s v="Thabo"/>
    <n v="0"/>
    <n v="0"/>
    <s v="Valid"/>
    <x v="1"/>
    <s v="Q1"/>
    <n v="2025"/>
    <n v="0.3614647156197428"/>
    <s v="Large"/>
  </r>
  <r>
    <d v="2025-02-24T00:00:00"/>
    <x v="0"/>
    <x v="2"/>
    <s v="Cold Splicing"/>
    <n v="3"/>
    <n v="20644.71"/>
    <n v="61934.13"/>
    <n v="39082.720000000001"/>
    <n v="22851.41"/>
    <x v="0"/>
    <s v="James"/>
    <n v="0"/>
    <n v="0"/>
    <s v="Valid"/>
    <x v="1"/>
    <s v="Q1"/>
    <n v="2025"/>
    <n v="0.36896312259492464"/>
    <s v="Large"/>
  </r>
  <r>
    <d v="2025-02-24T00:00:00"/>
    <x v="9"/>
    <x v="1"/>
    <s v="Installation Kit"/>
    <n v="5"/>
    <n v="8081.31"/>
    <n v="40406.550000000003"/>
    <n v="31702.25"/>
    <n v="8704.2999999999993"/>
    <x v="4"/>
    <s v="Thabo"/>
    <n v="0"/>
    <n v="0"/>
    <s v="Valid"/>
    <x v="1"/>
    <s v="Q1"/>
    <n v="2025"/>
    <n v="0.21541804484668942"/>
    <s v="Large"/>
  </r>
  <r>
    <d v="2025-02-28T00:00:00"/>
    <x v="3"/>
    <x v="3"/>
    <s v="Splicing Tools Refill"/>
    <n v="5"/>
    <n v="2291.61"/>
    <n v="11458.05"/>
    <n v="8656"/>
    <n v="2802.05"/>
    <x v="1"/>
    <s v="Carel"/>
    <n v="0"/>
    <n v="0"/>
    <s v="Valid"/>
    <x v="1"/>
    <s v="Q1"/>
    <n v="2025"/>
    <n v="0.24454859247428667"/>
    <s v="Medium"/>
  </r>
  <r>
    <d v="2025-03-01T00:00:00"/>
    <x v="3"/>
    <x v="1"/>
    <s v="Installation Kit"/>
    <n v="6"/>
    <n v="8040.15"/>
    <n v="48240.9"/>
    <n v="34656.44"/>
    <n v="13584.46"/>
    <x v="2"/>
    <s v="Thabo"/>
    <n v="0"/>
    <n v="0"/>
    <s v="Valid"/>
    <x v="2"/>
    <s v="Q1"/>
    <n v="2025"/>
    <n v="0.28159632179333299"/>
    <s v="Large"/>
  </r>
  <r>
    <d v="2025-03-02T00:00:00"/>
    <x v="5"/>
    <x v="2"/>
    <s v="Cold Splicing"/>
    <n v="1"/>
    <n v="36476.699999999997"/>
    <n v="36476.699999999997"/>
    <n v="20252.490000000002"/>
    <n v="16224.21"/>
    <x v="1"/>
    <s v="Thabo"/>
    <n v="0"/>
    <n v="0"/>
    <s v="Valid"/>
    <x v="2"/>
    <s v="Q1"/>
    <n v="2025"/>
    <n v="0.44478283397346802"/>
    <s v="Large"/>
  </r>
  <r>
    <d v="2025-03-05T00:00:00"/>
    <x v="7"/>
    <x v="0"/>
    <s v="Pulley Lagging"/>
    <n v="3"/>
    <n v="34458.33"/>
    <n v="103374.99"/>
    <n v="63705.72"/>
    <n v="39669.269999999997"/>
    <x v="4"/>
    <s v="Lerato"/>
    <n v="0"/>
    <n v="0"/>
    <s v="Valid"/>
    <x v="2"/>
    <s v="Q1"/>
    <n v="2025"/>
    <n v="0.38374146396531689"/>
    <s v="Large"/>
  </r>
  <r>
    <d v="2025-03-07T00:00:00"/>
    <x v="2"/>
    <x v="2"/>
    <s v="Cold Splicing"/>
    <n v="1"/>
    <n v="31112.95"/>
    <n v="31112.95"/>
    <n v="17374.689999999999"/>
    <n v="13738.26"/>
    <x v="1"/>
    <s v="Carel"/>
    <n v="0"/>
    <n v="0"/>
    <s v="Valid"/>
    <x v="2"/>
    <s v="Q1"/>
    <n v="2025"/>
    <n v="0.44156082917241857"/>
    <s v="Large"/>
  </r>
  <r>
    <d v="2025-03-09T00:00:00"/>
    <x v="0"/>
    <x v="0"/>
    <s v="Site Inspection"/>
    <n v="2"/>
    <n v="7307.16"/>
    <n v="14614.32"/>
    <n v="9007.41"/>
    <n v="5606.91"/>
    <x v="4"/>
    <s v="Thabo"/>
    <n v="0"/>
    <n v="0"/>
    <s v="Valid"/>
    <x v="2"/>
    <s v="Q1"/>
    <n v="2025"/>
    <n v="0.3836586307128898"/>
    <s v="Medium"/>
  </r>
  <r>
    <d v="2025-03-11T00:00:00"/>
    <x v="6"/>
    <x v="2"/>
    <s v="Emergency Callout"/>
    <n v="1"/>
    <n v="27500.93"/>
    <n v="27500.93"/>
    <n v="16325.59"/>
    <n v="11175.34"/>
    <x v="2"/>
    <s v="Carel"/>
    <n v="0"/>
    <n v="0"/>
    <s v="Valid"/>
    <x v="2"/>
    <s v="Q1"/>
    <n v="2025"/>
    <n v="0.40636225756728955"/>
    <s v="Medium"/>
  </r>
  <r>
    <d v="2025-03-11T00:00:00"/>
    <x v="2"/>
    <x v="4"/>
    <s v="Monthly Support Package"/>
    <n v="1"/>
    <n v="20372.240000000002"/>
    <n v="20372.240000000002"/>
    <n v="9212.59"/>
    <n v="11159.65"/>
    <x v="3"/>
    <s v="James"/>
    <n v="0"/>
    <n v="0"/>
    <s v="Valid"/>
    <x v="2"/>
    <s v="Q1"/>
    <n v="2025"/>
    <n v="0.54778708674156595"/>
    <s v="Medium"/>
  </r>
  <r>
    <d v="2025-03-12T00:00:00"/>
    <x v="4"/>
    <x v="4"/>
    <s v="Monthly Support Package"/>
    <n v="1"/>
    <n v="16472.55"/>
    <n v="16472.55"/>
    <n v="6663.33"/>
    <n v="9809.2199999999993"/>
    <x v="0"/>
    <s v="James"/>
    <n v="0"/>
    <n v="0"/>
    <s v="Valid"/>
    <x v="2"/>
    <s v="Q1"/>
    <n v="2025"/>
    <n v="0.59548885873771817"/>
    <s v="Medium"/>
  </r>
  <r>
    <d v="2025-03-14T00:00:00"/>
    <x v="10"/>
    <x v="2"/>
    <s v="Repair Service"/>
    <n v="4"/>
    <n v="6551.47"/>
    <n v="26205.88"/>
    <n v="13554.36"/>
    <n v="12651.52"/>
    <x v="3"/>
    <s v="James"/>
    <n v="0"/>
    <n v="0"/>
    <s v="Valid"/>
    <x v="2"/>
    <s v="Q1"/>
    <n v="2025"/>
    <n v="0.48277409497410506"/>
    <s v="Medium"/>
  </r>
  <r>
    <d v="2025-03-16T00:00:00"/>
    <x v="10"/>
    <x v="2"/>
    <s v="Cold Splicing"/>
    <n v="2"/>
    <n v="35911.31"/>
    <n v="71822.62"/>
    <n v="46348.67"/>
    <n v="25473.95"/>
    <x v="4"/>
    <s v="James"/>
    <n v="0"/>
    <n v="0"/>
    <s v="Valid"/>
    <x v="2"/>
    <s v="Q1"/>
    <n v="2025"/>
    <n v="0.35467865137751869"/>
    <s v="Large"/>
  </r>
  <r>
    <d v="2025-03-19T00:00:00"/>
    <x v="7"/>
    <x v="0"/>
    <s v="Site Inspection"/>
    <n v="4"/>
    <n v="6208.65"/>
    <n v="24834.6"/>
    <n v="12552.68"/>
    <n v="12281.92"/>
    <x v="2"/>
    <s v="Thabo"/>
    <n v="0"/>
    <n v="0"/>
    <s v="Valid"/>
    <x v="2"/>
    <s v="Q1"/>
    <n v="2025"/>
    <n v="0.49454873442696884"/>
    <s v="Medium"/>
  </r>
  <r>
    <d v="2025-03-20T00:00:00"/>
    <x v="4"/>
    <x v="3"/>
    <s v="Consumable Kit"/>
    <n v="1"/>
    <n v="1236.9000000000001"/>
    <n v="1236.9000000000001"/>
    <n v="950.22"/>
    <n v="286.68"/>
    <x v="0"/>
    <s v="Carel"/>
    <n v="0"/>
    <n v="0"/>
    <s v="Valid"/>
    <x v="2"/>
    <s v="Q1"/>
    <n v="2025"/>
    <n v="0.23177298083919476"/>
    <s v="Small"/>
  </r>
  <r>
    <d v="2025-03-21T00:00:00"/>
    <x v="0"/>
    <x v="0"/>
    <s v="Site Inspection"/>
    <n v="5"/>
    <n v="5505.69"/>
    <n v="27528.45"/>
    <n v="15142.69"/>
    <n v="12385.76"/>
    <x v="2"/>
    <s v="Pieter"/>
    <n v="0"/>
    <n v="0"/>
    <s v="Valid"/>
    <x v="2"/>
    <s v="Q1"/>
    <n v="2025"/>
    <n v="0.44992580403182891"/>
    <s v="Medium"/>
  </r>
  <r>
    <d v="2025-03-24T00:00:00"/>
    <x v="14"/>
    <x v="3"/>
    <s v="Consumable Kit"/>
    <n v="2"/>
    <n v="4489.16"/>
    <n v="8978.32"/>
    <n v="6589.28"/>
    <n v="2389.04"/>
    <x v="4"/>
    <s v="Carel"/>
    <n v="0"/>
    <n v="0"/>
    <s v="Valid"/>
    <x v="2"/>
    <s v="Q1"/>
    <n v="2025"/>
    <n v="0.26608986981974359"/>
    <s v="Small"/>
  </r>
  <r>
    <d v="2025-03-25T00:00:00"/>
    <x v="0"/>
    <x v="2"/>
    <s v="Cold Splicing"/>
    <n v="2"/>
    <n v="16710.22"/>
    <n v="33420.44"/>
    <n v="17438.650000000001"/>
    <n v="15981.79"/>
    <x v="4"/>
    <s v="James"/>
    <n v="0"/>
    <n v="0"/>
    <s v="Valid"/>
    <x v="2"/>
    <s v="Q1"/>
    <n v="2025"/>
    <n v="0.47820405715783515"/>
    <s v="Large"/>
  </r>
  <r>
    <d v="2025-03-25T00:00:00"/>
    <x v="4"/>
    <x v="2"/>
    <s v="Cold Splicing"/>
    <n v="3"/>
    <n v="28305.86"/>
    <n v="84917.58"/>
    <n v="51026.05"/>
    <n v="33891.53"/>
    <x v="1"/>
    <s v="Thabo"/>
    <n v="0"/>
    <n v="0"/>
    <s v="Valid"/>
    <x v="2"/>
    <s v="Q1"/>
    <n v="2025"/>
    <n v="0.39911087904294962"/>
    <s v="Large"/>
  </r>
  <r>
    <d v="2025-03-27T00:00:00"/>
    <x v="5"/>
    <x v="2"/>
    <s v="Cold Splicing"/>
    <n v="1"/>
    <n v="27227.78"/>
    <n v="27227.78"/>
    <n v="12892.17"/>
    <n v="14335.61"/>
    <x v="1"/>
    <s v="Thabo"/>
    <n v="0"/>
    <n v="0"/>
    <s v="Valid"/>
    <x v="2"/>
    <s v="Q1"/>
    <n v="2025"/>
    <n v="0.52650675156035498"/>
    <s v="Medium"/>
  </r>
  <r>
    <d v="2025-03-30T00:00:00"/>
    <x v="2"/>
    <x v="2"/>
    <s v="Cold Splicing"/>
    <n v="2"/>
    <n v="37818.75"/>
    <n v="75637.5"/>
    <n v="40265.07"/>
    <n v="35372.43"/>
    <x v="3"/>
    <s v="Pieter"/>
    <n v="0"/>
    <n v="0"/>
    <s v="Valid"/>
    <x v="2"/>
    <s v="Q1"/>
    <n v="2025"/>
    <n v="0.46765731284085277"/>
    <s v="Large"/>
  </r>
  <r>
    <d v="2025-03-30T00:00:00"/>
    <x v="2"/>
    <x v="4"/>
    <s v="Technical Support Visit"/>
    <n v="3"/>
    <n v="5728.69"/>
    <n v="17186.07"/>
    <n v="8280.23"/>
    <n v="8905.84"/>
    <x v="0"/>
    <s v="Carel"/>
    <n v="0"/>
    <n v="0"/>
    <s v="Valid"/>
    <x v="2"/>
    <s v="Q1"/>
    <n v="2025"/>
    <n v="0.51820107796605042"/>
    <s v="Medium"/>
  </r>
  <r>
    <d v="2025-03-31T00:00:00"/>
    <x v="13"/>
    <x v="0"/>
    <s v="Pulley Lagging"/>
    <n v="3"/>
    <n v="21502.42"/>
    <n v="64507.26"/>
    <n v="40260.9"/>
    <n v="24246.36"/>
    <x v="4"/>
    <s v="Thabo"/>
    <n v="0"/>
    <n v="0"/>
    <s v="Valid"/>
    <x v="2"/>
    <s v="Q1"/>
    <n v="2025"/>
    <n v="0.37587025088338893"/>
    <s v="Large"/>
  </r>
  <r>
    <d v="2025-04-02T00:00:00"/>
    <x v="3"/>
    <x v="1"/>
    <s v="Installation Kit"/>
    <n v="5"/>
    <n v="11562.42"/>
    <n v="57812.1"/>
    <n v="46432.36"/>
    <n v="11379.74"/>
    <x v="2"/>
    <s v="Pieter"/>
    <n v="0"/>
    <n v="0"/>
    <s v="Valid"/>
    <x v="3"/>
    <s v="Q2"/>
    <n v="2025"/>
    <n v="0.19684010786669226"/>
    <s v="Large"/>
  </r>
  <r>
    <d v="2025-04-05T00:00:00"/>
    <x v="14"/>
    <x v="1"/>
    <s v="Installation Kit"/>
    <n v="5"/>
    <n v="5259.89"/>
    <n v="26299.45"/>
    <n v="19924.18"/>
    <n v="6375.27"/>
    <x v="3"/>
    <s v="Lerato"/>
    <n v="0"/>
    <n v="0"/>
    <s v="Valid"/>
    <x v="3"/>
    <s v="Q2"/>
    <n v="2025"/>
    <n v="0.24241077284886187"/>
    <s v="Medium"/>
  </r>
  <r>
    <d v="2025-04-15T00:00:00"/>
    <x v="8"/>
    <x v="1"/>
    <s v="Industrial Rollers"/>
    <n v="7"/>
    <n v="9519.1299999999992"/>
    <n v="66633.91"/>
    <n v="51730.75"/>
    <n v="14903.16"/>
    <x v="0"/>
    <s v="James"/>
    <n v="0"/>
    <n v="0"/>
    <s v="Valid"/>
    <x v="3"/>
    <s v="Q2"/>
    <n v="2025"/>
    <n v="0.22365729401141249"/>
    <s v="Large"/>
  </r>
  <r>
    <d v="2025-04-18T00:00:00"/>
    <x v="13"/>
    <x v="4"/>
    <s v="Monthly Support Package"/>
    <n v="1"/>
    <n v="18163.400000000001"/>
    <n v="18163.400000000001"/>
    <n v="4677.42"/>
    <n v="13485.98"/>
    <x v="1"/>
    <s v="Pieter"/>
    <n v="0"/>
    <n v="0"/>
    <s v="Valid"/>
    <x v="3"/>
    <s v="Q2"/>
    <n v="2025"/>
    <n v="0.74248103328671933"/>
    <s v="Medium"/>
  </r>
  <r>
    <d v="2025-04-20T00:00:00"/>
    <x v="0"/>
    <x v="0"/>
    <s v="Maintenance Visit"/>
    <n v="4"/>
    <n v="8986.86"/>
    <n v="35947.440000000002"/>
    <n v="18669.28"/>
    <n v="17278.16"/>
    <x v="0"/>
    <s v="James"/>
    <n v="0"/>
    <n v="0"/>
    <s v="Valid"/>
    <x v="3"/>
    <s v="Q2"/>
    <n v="2025"/>
    <n v="0.48065063882156833"/>
    <s v="Large"/>
  </r>
  <r>
    <d v="2025-04-21T00:00:00"/>
    <x v="8"/>
    <x v="2"/>
    <s v="Repair Service"/>
    <n v="3"/>
    <n v="9847.58"/>
    <n v="29542.74"/>
    <n v="17254"/>
    <n v="12288.74"/>
    <x v="1"/>
    <s v="Pieter"/>
    <n v="0"/>
    <n v="0"/>
    <s v="Valid"/>
    <x v="3"/>
    <s v="Q2"/>
    <n v="2025"/>
    <n v="0.41596480218151732"/>
    <s v="Medium"/>
  </r>
  <r>
    <d v="2025-04-21T00:00:00"/>
    <x v="7"/>
    <x v="0"/>
    <s v="Maintenance Visit"/>
    <n v="3"/>
    <n v="6627.21"/>
    <n v="19881.63"/>
    <n v="11024.53"/>
    <n v="8857.1"/>
    <x v="4"/>
    <s v="Thabo"/>
    <n v="0"/>
    <n v="0"/>
    <s v="Valid"/>
    <x v="3"/>
    <s v="Q2"/>
    <n v="2025"/>
    <n v="0.44549164228486293"/>
    <s v="Medium"/>
  </r>
  <r>
    <d v="2025-04-25T00:00:00"/>
    <x v="10"/>
    <x v="4"/>
    <s v="Technical Support Visit"/>
    <n v="2"/>
    <n v="5575"/>
    <n v="11150"/>
    <n v="5267.57"/>
    <n v="5882.43"/>
    <x v="0"/>
    <s v="Pieter"/>
    <n v="0"/>
    <n v="0"/>
    <s v="Valid"/>
    <x v="3"/>
    <s v="Q2"/>
    <n v="2025"/>
    <n v="0.52757219730941707"/>
    <s v="Medium"/>
  </r>
  <r>
    <d v="2025-04-26T00:00:00"/>
    <x v="6"/>
    <x v="1"/>
    <s v="Belt Supply"/>
    <n v="4"/>
    <n v="64061.71"/>
    <n v="256246.84"/>
    <n v="198581.81"/>
    <n v="57665.03"/>
    <x v="3"/>
    <s v="Thabo"/>
    <n v="0"/>
    <n v="0"/>
    <s v="Valid"/>
    <x v="3"/>
    <s v="Q2"/>
    <n v="2025"/>
    <n v="0.2250370385055285"/>
    <s v="Large"/>
  </r>
  <r>
    <d v="2025-04-30T00:00:00"/>
    <x v="7"/>
    <x v="2"/>
    <s v="Emergency Callout"/>
    <n v="2"/>
    <n v="27617.279999999999"/>
    <n v="55234.559999999998"/>
    <n v="37246.339999999997"/>
    <n v="17988.22"/>
    <x v="0"/>
    <s v="Lerato"/>
    <n v="0"/>
    <n v="0"/>
    <s v="Valid"/>
    <x v="3"/>
    <s v="Q2"/>
    <n v="2025"/>
    <n v="0.32566965320263258"/>
    <s v="Large"/>
  </r>
  <r>
    <d v="2025-05-02T00:00:00"/>
    <x v="4"/>
    <x v="2"/>
    <s v="Repair Service"/>
    <n v="3"/>
    <n v="17682.18"/>
    <n v="53046.54"/>
    <n v="28485.360000000001"/>
    <n v="24561.18"/>
    <x v="3"/>
    <s v="Pieter"/>
    <n v="0"/>
    <n v="0"/>
    <s v="Valid"/>
    <x v="4"/>
    <s v="Q2"/>
    <n v="2025"/>
    <n v="0.46301191368937539"/>
    <s v="Large"/>
  </r>
  <r>
    <d v="2025-05-02T00:00:00"/>
    <x v="11"/>
    <x v="3"/>
    <s v="Consumable Kit"/>
    <n v="8"/>
    <n v="2267.6799999999998"/>
    <n v="18141.439999999999"/>
    <n v="15432.09"/>
    <n v="2709.35"/>
    <x v="4"/>
    <s v="James"/>
    <n v="0"/>
    <n v="0"/>
    <s v="Valid"/>
    <x v="4"/>
    <s v="Q2"/>
    <n v="2025"/>
    <n v="0.14934591741339168"/>
    <s v="Medium"/>
  </r>
  <r>
    <d v="2025-05-05T00:00:00"/>
    <x v="4"/>
    <x v="1"/>
    <s v="Belt Supply"/>
    <n v="3"/>
    <n v="25594.35"/>
    <n v="76783.05"/>
    <n v="56962.04"/>
    <n v="19821.009999999998"/>
    <x v="1"/>
    <s v="Thabo"/>
    <n v="0"/>
    <n v="0"/>
    <s v="Valid"/>
    <x v="4"/>
    <s v="Q2"/>
    <n v="2025"/>
    <n v="0.25814304068410932"/>
    <s v="Large"/>
  </r>
  <r>
    <d v="2025-05-08T00:00:00"/>
    <x v="6"/>
    <x v="1"/>
    <s v="Installation Kit"/>
    <n v="2"/>
    <n v="12821.42"/>
    <n v="25642.84"/>
    <n v="19070.5"/>
    <n v="6572.34"/>
    <x v="2"/>
    <s v="James"/>
    <n v="0"/>
    <n v="0"/>
    <s v="Valid"/>
    <x v="4"/>
    <s v="Q2"/>
    <n v="2025"/>
    <n v="0.2563031239909464"/>
    <s v="Medium"/>
  </r>
  <r>
    <d v="2025-05-09T00:00:00"/>
    <x v="8"/>
    <x v="0"/>
    <s v="Site Inspection"/>
    <n v="1"/>
    <n v="3579.18"/>
    <n v="3579.18"/>
    <n v="2328.16"/>
    <n v="1251.02"/>
    <x v="3"/>
    <s v="Lerato"/>
    <n v="0"/>
    <n v="0"/>
    <s v="Valid"/>
    <x v="4"/>
    <s v="Q2"/>
    <n v="2025"/>
    <n v="0.34952698662822212"/>
    <s v="Small"/>
  </r>
  <r>
    <d v="2025-05-10T00:00:00"/>
    <x v="8"/>
    <x v="2"/>
    <s v="Cold Splicing"/>
    <n v="1"/>
    <n v="39150.35"/>
    <n v="39150.35"/>
    <n v="18324.689999999999"/>
    <n v="20825.66"/>
    <x v="3"/>
    <s v="James"/>
    <n v="0"/>
    <n v="0"/>
    <s v="Valid"/>
    <x v="4"/>
    <s v="Q2"/>
    <n v="2025"/>
    <n v="0.53194058290666624"/>
    <s v="Large"/>
  </r>
  <r>
    <d v="2025-05-11T00:00:00"/>
    <x v="8"/>
    <x v="1"/>
    <s v="Industrial Rollers"/>
    <n v="8"/>
    <n v="16853.14"/>
    <n v="134825.12"/>
    <n v="92972.56"/>
    <n v="41852.559999999998"/>
    <x v="3"/>
    <s v="Lerato"/>
    <n v="0"/>
    <n v="0"/>
    <s v="Valid"/>
    <x v="4"/>
    <s v="Q2"/>
    <n v="2025"/>
    <n v="0.31042108473554481"/>
    <s v="Large"/>
  </r>
  <r>
    <d v="2025-05-12T00:00:00"/>
    <x v="8"/>
    <x v="1"/>
    <s v="Industrial Rollers"/>
    <n v="5"/>
    <n v="15807.87"/>
    <n v="79039.350000000006"/>
    <n v="54494.34"/>
    <n v="24545.01"/>
    <x v="0"/>
    <s v="Pieter"/>
    <n v="0"/>
    <n v="0"/>
    <s v="Valid"/>
    <x v="4"/>
    <s v="Q2"/>
    <n v="2025"/>
    <n v="0.31054164792600136"/>
    <s v="Large"/>
  </r>
  <r>
    <d v="2025-05-14T00:00:00"/>
    <x v="4"/>
    <x v="1"/>
    <s v="Installation Kit"/>
    <n v="2"/>
    <n v="5206.76"/>
    <n v="10413.52"/>
    <n v="8227.84"/>
    <n v="2185.6799999999998"/>
    <x v="2"/>
    <s v="James"/>
    <n v="0"/>
    <n v="0"/>
    <s v="Valid"/>
    <x v="4"/>
    <s v="Q2"/>
    <n v="2025"/>
    <n v="0.209888683173413"/>
    <s v="Medium"/>
  </r>
  <r>
    <d v="2025-05-15T00:00:00"/>
    <x v="12"/>
    <x v="1"/>
    <s v="Industrial Rollers"/>
    <n v="2"/>
    <n v="10647.81"/>
    <n v="21295.62"/>
    <n v="16855.189999999999"/>
    <n v="4440.43"/>
    <x v="3"/>
    <s v="James"/>
    <n v="0"/>
    <n v="0"/>
    <s v="Valid"/>
    <x v="4"/>
    <s v="Q2"/>
    <n v="2025"/>
    <n v="0.20851376949814096"/>
    <s v="Medium"/>
  </r>
  <r>
    <d v="2025-05-19T00:00:00"/>
    <x v="3"/>
    <x v="3"/>
    <s v="Adhesive Pack"/>
    <n v="2"/>
    <n v="2473.25"/>
    <n v="4946.5"/>
    <n v="4098.92"/>
    <n v="847.58"/>
    <x v="2"/>
    <s v="James"/>
    <n v="0"/>
    <n v="0"/>
    <s v="Valid"/>
    <x v="4"/>
    <s v="Q2"/>
    <n v="2025"/>
    <n v="0.17134943899727081"/>
    <s v="Small"/>
  </r>
  <r>
    <d v="2025-05-21T00:00:00"/>
    <x v="9"/>
    <x v="1"/>
    <s v="Installation Kit"/>
    <n v="1"/>
    <n v="11217.46"/>
    <n v="11217.46"/>
    <n v="7768.37"/>
    <n v="3449.09"/>
    <x v="3"/>
    <s v="Thabo"/>
    <n v="0"/>
    <n v="0"/>
    <s v="Valid"/>
    <x v="4"/>
    <s v="Q2"/>
    <n v="2025"/>
    <n v="0.30747513251663033"/>
    <s v="Medium"/>
  </r>
  <r>
    <d v="2025-05-22T00:00:00"/>
    <x v="8"/>
    <x v="2"/>
    <s v="Emergency Callout"/>
    <n v="2"/>
    <n v="22090.06"/>
    <n v="44180.12"/>
    <n v="24751.59"/>
    <n v="19428.53"/>
    <x v="4"/>
    <s v="James"/>
    <n v="0"/>
    <n v="0"/>
    <s v="Valid"/>
    <x v="4"/>
    <s v="Q2"/>
    <n v="2025"/>
    <n v="0.43975729355194143"/>
    <s v="Large"/>
  </r>
  <r>
    <d v="2025-05-24T00:00:00"/>
    <x v="9"/>
    <x v="1"/>
    <s v="Belt Supply"/>
    <n v="4"/>
    <n v="48469.41"/>
    <n v="193877.64"/>
    <n v="151341.60999999999"/>
    <n v="42536.03"/>
    <x v="0"/>
    <s v="James"/>
    <n v="0"/>
    <n v="0"/>
    <s v="Valid"/>
    <x v="4"/>
    <s v="Q2"/>
    <n v="2025"/>
    <n v="0.2193962645718196"/>
    <s v="Large"/>
  </r>
  <r>
    <d v="2025-05-26T00:00:00"/>
    <x v="3"/>
    <x v="3"/>
    <s v="Splicing Tools Refill"/>
    <n v="7"/>
    <n v="827.84"/>
    <n v="5794.88"/>
    <n v="4669.8100000000004"/>
    <n v="1125.07"/>
    <x v="4"/>
    <s v="Pieter"/>
    <n v="0"/>
    <n v="0"/>
    <s v="Valid"/>
    <x v="4"/>
    <s v="Q2"/>
    <n v="2025"/>
    <n v="0.19414897288641006"/>
    <s v="Small"/>
  </r>
  <r>
    <d v="2025-05-29T00:00:00"/>
    <x v="6"/>
    <x v="1"/>
    <s v="Industrial Rollers"/>
    <n v="8"/>
    <n v="6524.3"/>
    <n v="52194.400000000001"/>
    <n v="37962.660000000003"/>
    <n v="14231.74"/>
    <x v="3"/>
    <s v="James"/>
    <n v="0"/>
    <n v="0"/>
    <s v="Valid"/>
    <x v="4"/>
    <s v="Q2"/>
    <n v="2025"/>
    <n v="0.27266794905200559"/>
    <s v="Large"/>
  </r>
  <r>
    <d v="2025-05-31T00:00:00"/>
    <x v="4"/>
    <x v="1"/>
    <s v="Installation Kit"/>
    <n v="6"/>
    <n v="10427.81"/>
    <n v="62566.86"/>
    <n v="44615.03"/>
    <n v="17951.830000000002"/>
    <x v="0"/>
    <s v="Carel"/>
    <n v="0"/>
    <n v="0"/>
    <s v="Valid"/>
    <x v="4"/>
    <s v="Q2"/>
    <n v="2025"/>
    <n v="0.28692234195546973"/>
    <s v="Large"/>
  </r>
  <r>
    <d v="2025-05-31T00:00:00"/>
    <x v="0"/>
    <x v="2"/>
    <s v="Repair Service"/>
    <n v="4"/>
    <n v="19544.46"/>
    <n v="78177.84"/>
    <n v="49023.98"/>
    <n v="29153.86"/>
    <x v="3"/>
    <s v="Lerato"/>
    <n v="0"/>
    <n v="0"/>
    <s v="Valid"/>
    <x v="4"/>
    <s v="Q2"/>
    <n v="2025"/>
    <n v="0.37291718471628282"/>
    <s v="Large"/>
  </r>
  <r>
    <d v="2025-06-03T00:00:00"/>
    <x v="6"/>
    <x v="0"/>
    <s v="Pulley Lagging"/>
    <n v="1"/>
    <n v="36606.19"/>
    <n v="36606.19"/>
    <n v="23033.51"/>
    <n v="13572.68"/>
    <x v="0"/>
    <s v="Thabo"/>
    <n v="0"/>
    <n v="0"/>
    <s v="Valid"/>
    <x v="5"/>
    <s v="Q2"/>
    <n v="2025"/>
    <n v="0.3707755436990301"/>
    <s v="Large"/>
  </r>
  <r>
    <d v="2025-06-04T00:00:00"/>
    <x v="14"/>
    <x v="3"/>
    <s v="Adhesive Pack"/>
    <n v="9"/>
    <n v="2654.14"/>
    <n v="23887.26"/>
    <n v="20635.79"/>
    <n v="3251.47"/>
    <x v="4"/>
    <s v="Carel"/>
    <n v="0"/>
    <n v="0"/>
    <s v="Valid"/>
    <x v="5"/>
    <s v="Q2"/>
    <n v="2025"/>
    <n v="0.13611732781407326"/>
    <s v="Medium"/>
  </r>
  <r>
    <d v="2025-06-06T00:00:00"/>
    <x v="6"/>
    <x v="1"/>
    <s v="Industrial Rollers"/>
    <n v="4"/>
    <n v="16094.49"/>
    <n v="64377.96"/>
    <n v="46030.27"/>
    <n v="18347.689999999999"/>
    <x v="3"/>
    <s v="Lerato"/>
    <n v="0"/>
    <n v="0"/>
    <s v="Valid"/>
    <x v="5"/>
    <s v="Q2"/>
    <n v="2025"/>
    <n v="0.28499955574858227"/>
    <s v="Large"/>
  </r>
  <r>
    <d v="2025-06-07T00:00:00"/>
    <x v="5"/>
    <x v="0"/>
    <s v="Maintenance Visit"/>
    <n v="1"/>
    <n v="17337.14"/>
    <n v="17337.14"/>
    <n v="11240.61"/>
    <n v="6096.53"/>
    <x v="0"/>
    <s v="Carel"/>
    <n v="0"/>
    <n v="0"/>
    <s v="Valid"/>
    <x v="5"/>
    <s v="Q2"/>
    <n v="2025"/>
    <n v="0.35164565781899437"/>
    <s v="Medium"/>
  </r>
  <r>
    <d v="2025-06-08T00:00:00"/>
    <x v="9"/>
    <x v="1"/>
    <s v="Installation Kit"/>
    <n v="4"/>
    <n v="6380.92"/>
    <n v="25523.68"/>
    <n v="18976.599999999999"/>
    <n v="6547.08"/>
    <x v="4"/>
    <s v="Carel"/>
    <n v="0"/>
    <n v="0"/>
    <s v="Valid"/>
    <x v="5"/>
    <s v="Q2"/>
    <n v="2025"/>
    <n v="0.25651003303598852"/>
    <s v="Medium"/>
  </r>
  <r>
    <d v="2025-06-11T00:00:00"/>
    <x v="4"/>
    <x v="3"/>
    <s v="Adhesive Pack"/>
    <n v="12"/>
    <n v="2454.5"/>
    <n v="29454"/>
    <n v="24926.22"/>
    <n v="4527.78"/>
    <x v="3"/>
    <s v="Carel"/>
    <n v="0"/>
    <n v="0"/>
    <s v="Valid"/>
    <x v="5"/>
    <s v="Q2"/>
    <n v="2025"/>
    <n v="0.15372377266245671"/>
    <s v="Medium"/>
  </r>
  <r>
    <d v="2025-06-11T00:00:00"/>
    <x v="0"/>
    <x v="0"/>
    <s v="Maintenance Visit"/>
    <n v="4"/>
    <n v="11040.04"/>
    <n v="44160.160000000003"/>
    <n v="25419.73"/>
    <n v="18740.43"/>
    <x v="2"/>
    <s v="Thabo"/>
    <n v="0"/>
    <n v="0"/>
    <s v="Valid"/>
    <x v="5"/>
    <s v="Q2"/>
    <n v="2025"/>
    <n v="0.42437414176035593"/>
    <s v="Large"/>
  </r>
  <r>
    <d v="2025-06-11T00:00:00"/>
    <x v="0"/>
    <x v="2"/>
    <s v="Cold Splicing"/>
    <n v="2"/>
    <n v="24840.27"/>
    <n v="49680.54"/>
    <n v="26544.959999999999"/>
    <n v="23135.58"/>
    <x v="1"/>
    <s v="Thabo"/>
    <n v="0"/>
    <n v="0"/>
    <s v="Valid"/>
    <x v="5"/>
    <s v="Q2"/>
    <n v="2025"/>
    <n v="0.46568696717064673"/>
    <s v="Large"/>
  </r>
  <r>
    <d v="2025-06-12T00:00:00"/>
    <x v="6"/>
    <x v="4"/>
    <s v="Technical Support Visit"/>
    <n v="3"/>
    <n v="11326.89"/>
    <n v="33980.67"/>
    <n v="16673.84"/>
    <n v="17306.830000000002"/>
    <x v="4"/>
    <s v="Pieter"/>
    <n v="0"/>
    <n v="0"/>
    <s v="Valid"/>
    <x v="5"/>
    <s v="Q2"/>
    <n v="2025"/>
    <n v="0.5093139717374614"/>
    <s v="Large"/>
  </r>
  <r>
    <d v="2025-06-13T00:00:00"/>
    <x v="12"/>
    <x v="1"/>
    <s v="Belt Supply"/>
    <n v="3"/>
    <n v="29647.279999999999"/>
    <n v="88941.84"/>
    <n v="65148.81"/>
    <n v="23793.03"/>
    <x v="0"/>
    <s v="Lerato"/>
    <n v="0"/>
    <n v="0"/>
    <s v="Valid"/>
    <x v="5"/>
    <s v="Q2"/>
    <n v="2025"/>
    <n v="0.26751223046431238"/>
    <s v="Large"/>
  </r>
  <r>
    <d v="2025-06-14T00:00:00"/>
    <x v="2"/>
    <x v="4"/>
    <s v="Monthly Support Package"/>
    <n v="1"/>
    <n v="16545.689999999999"/>
    <n v="16545.689999999999"/>
    <n v="5477.28"/>
    <n v="11068.41"/>
    <x v="3"/>
    <s v="James"/>
    <n v="0"/>
    <n v="0"/>
    <s v="Valid"/>
    <x v="5"/>
    <s v="Q2"/>
    <n v="2025"/>
    <n v="0.66896031534496303"/>
    <s v="Medium"/>
  </r>
  <r>
    <d v="2025-06-14T00:00:00"/>
    <x v="3"/>
    <x v="1"/>
    <s v="Industrial Rollers"/>
    <n v="6"/>
    <n v="13630.9"/>
    <n v="81785.399999999994"/>
    <n v="58333.78"/>
    <n v="23451.62"/>
    <x v="4"/>
    <s v="James"/>
    <n v="0"/>
    <n v="0"/>
    <s v="Valid"/>
    <x v="5"/>
    <s v="Q2"/>
    <n v="2025"/>
    <n v="0.28674580059521626"/>
    <s v="Large"/>
  </r>
  <r>
    <d v="2025-06-14T00:00:00"/>
    <x v="6"/>
    <x v="2"/>
    <s v="Repair Service"/>
    <n v="2"/>
    <n v="15814.95"/>
    <n v="31629.9"/>
    <n v="20056.650000000001"/>
    <n v="11573.25"/>
    <x v="2"/>
    <s v="Pieter"/>
    <n v="0"/>
    <n v="0"/>
    <s v="Valid"/>
    <x v="5"/>
    <s v="Q2"/>
    <n v="2025"/>
    <n v="0.36589587700245652"/>
    <s v="Large"/>
  </r>
  <r>
    <d v="2025-06-14T00:00:00"/>
    <x v="4"/>
    <x v="3"/>
    <s v="Consumable Kit"/>
    <n v="6"/>
    <n v="2741.08"/>
    <n v="16446.48"/>
    <n v="12116.71"/>
    <n v="4329.7700000000004"/>
    <x v="0"/>
    <s v="James"/>
    <n v="0"/>
    <n v="0"/>
    <s v="Valid"/>
    <x v="5"/>
    <s v="Q2"/>
    <n v="2025"/>
    <n v="0.26326423648099778"/>
    <s v="Medium"/>
  </r>
  <r>
    <d v="2025-06-14T00:00:00"/>
    <x v="5"/>
    <x v="3"/>
    <s v="Splicing Tools Refill"/>
    <n v="10"/>
    <n v="947.5"/>
    <n v="9475"/>
    <n v="8296.1299999999992"/>
    <n v="1178.8699999999999"/>
    <x v="3"/>
    <s v="Thabo"/>
    <n v="0"/>
    <n v="0"/>
    <s v="Valid"/>
    <x v="5"/>
    <s v="Q2"/>
    <n v="2025"/>
    <n v="0.12441899736147756"/>
    <s v="Small"/>
  </r>
  <r>
    <d v="2025-06-15T00:00:00"/>
    <x v="14"/>
    <x v="4"/>
    <s v="Monthly Support Package"/>
    <n v="1"/>
    <n v="17091"/>
    <n v="17091"/>
    <n v="5717.74"/>
    <n v="11373.26"/>
    <x v="4"/>
    <s v="Carel"/>
    <n v="0"/>
    <n v="0"/>
    <s v="Valid"/>
    <x v="5"/>
    <s v="Q2"/>
    <n v="2025"/>
    <n v="0.66545316248317832"/>
    <s v="Medium"/>
  </r>
  <r>
    <d v="2025-06-18T00:00:00"/>
    <x v="6"/>
    <x v="2"/>
    <s v="Repair Service"/>
    <n v="3"/>
    <n v="12798.53"/>
    <n v="38395.589999999997"/>
    <n v="21449.24"/>
    <n v="16946.349999999999"/>
    <x v="2"/>
    <s v="James"/>
    <n v="0"/>
    <n v="0"/>
    <s v="Valid"/>
    <x v="5"/>
    <s v="Q2"/>
    <n v="2025"/>
    <n v="0.44136188557071265"/>
    <s v="Large"/>
  </r>
  <r>
    <d v="2025-06-20T00:00:00"/>
    <x v="4"/>
    <x v="3"/>
    <s v="Splicing Tools Refill"/>
    <n v="5"/>
    <n v="2187.96"/>
    <n v="10939.8"/>
    <n v="9624.6200000000008"/>
    <n v="1315.18"/>
    <x v="0"/>
    <s v="Carel"/>
    <n v="0"/>
    <n v="0"/>
    <s v="Valid"/>
    <x v="5"/>
    <s v="Q2"/>
    <n v="2025"/>
    <n v="0.12021974807583322"/>
    <s v="Medium"/>
  </r>
  <r>
    <d v="2025-06-20T00:00:00"/>
    <x v="0"/>
    <x v="0"/>
    <s v="Pulley Lagging"/>
    <n v="2"/>
    <n v="18399.96"/>
    <n v="36799.919999999998"/>
    <n v="23082.83"/>
    <n v="13717.09"/>
    <x v="1"/>
    <s v="Thabo"/>
    <n v="0"/>
    <n v="0"/>
    <s v="Valid"/>
    <x v="5"/>
    <s v="Q2"/>
    <n v="2025"/>
    <n v="0.37274782119091565"/>
    <s v="Large"/>
  </r>
  <r>
    <d v="2025-06-21T00:00:00"/>
    <x v="6"/>
    <x v="1"/>
    <s v="Installation Kit"/>
    <n v="3"/>
    <n v="5886.02"/>
    <n v="17658.060000000001"/>
    <n v="13826.16"/>
    <n v="3831.9"/>
    <x v="4"/>
    <s v="James"/>
    <n v="0"/>
    <n v="0"/>
    <s v="Valid"/>
    <x v="5"/>
    <s v="Q2"/>
    <n v="2025"/>
    <n v="0.21700571863500293"/>
    <s v="Medium"/>
  </r>
  <r>
    <d v="2025-06-22T00:00:00"/>
    <x v="2"/>
    <x v="4"/>
    <s v="Technical Support Visit"/>
    <n v="3"/>
    <n v="8608.4"/>
    <n v="25825.200000000001"/>
    <n v="11173.98"/>
    <n v="14651.22"/>
    <x v="0"/>
    <s v="Lerato"/>
    <n v="0"/>
    <n v="0"/>
    <s v="Valid"/>
    <x v="5"/>
    <s v="Q2"/>
    <n v="2025"/>
    <n v="0.56732261512011517"/>
    <s v="Medium"/>
  </r>
  <r>
    <d v="2025-06-27T00:00:00"/>
    <x v="11"/>
    <x v="3"/>
    <s v="Adhesive Pack"/>
    <n v="13"/>
    <n v="2440.4299999999998"/>
    <n v="31725.59"/>
    <n v="24478.47"/>
    <n v="7247.12"/>
    <x v="0"/>
    <s v="Lerato"/>
    <n v="0"/>
    <n v="0"/>
    <s v="Valid"/>
    <x v="5"/>
    <s v="Q2"/>
    <n v="2025"/>
    <n v="0.228431370385862"/>
    <s v="Large"/>
  </r>
  <r>
    <d v="2025-06-30T00:00:00"/>
    <x v="14"/>
    <x v="4"/>
    <s v="Support Retainer"/>
    <n v="1"/>
    <n v="15854.02"/>
    <n v="15854.02"/>
    <n v="5142.1899999999996"/>
    <n v="10711.83"/>
    <x v="2"/>
    <s v="Carel"/>
    <n v="0"/>
    <n v="0"/>
    <s v="Valid"/>
    <x v="5"/>
    <s v="Q2"/>
    <n v="2025"/>
    <n v="0.67565387201479499"/>
    <s v="Medium"/>
  </r>
  <r>
    <d v="2025-07-02T00:00:00"/>
    <x v="13"/>
    <x v="4"/>
    <s v="Support Retainer"/>
    <n v="1"/>
    <n v="12192.25"/>
    <n v="12192.25"/>
    <n v="4460.21"/>
    <n v="7732.04"/>
    <x v="2"/>
    <s v="Carel"/>
    <n v="0"/>
    <n v="0"/>
    <s v="Valid"/>
    <x v="6"/>
    <s v="Q3"/>
    <n v="2025"/>
    <n v="0.63417662859603441"/>
    <s v="Medium"/>
  </r>
  <r>
    <d v="2025-07-04T00:00:00"/>
    <x v="12"/>
    <x v="1"/>
    <s v="Installation Kit"/>
    <n v="3"/>
    <n v="6030.69"/>
    <n v="18092.07"/>
    <n v="13678.73"/>
    <n v="4413.34"/>
    <x v="4"/>
    <s v="Lerato"/>
    <n v="0"/>
    <n v="0"/>
    <s v="Valid"/>
    <x v="6"/>
    <s v="Q3"/>
    <n v="2025"/>
    <n v="0.24393781363879313"/>
    <s v="Medium"/>
  </r>
  <r>
    <d v="2025-07-05T00:00:00"/>
    <x v="11"/>
    <x v="1"/>
    <s v="Industrial Rollers"/>
    <n v="8"/>
    <n v="7527.31"/>
    <n v="60218.48"/>
    <n v="41860.910000000003"/>
    <n v="18357.57"/>
    <x v="1"/>
    <s v="James"/>
    <n v="0"/>
    <n v="0"/>
    <s v="Valid"/>
    <x v="6"/>
    <s v="Q3"/>
    <n v="2025"/>
    <n v="0.30484944156677485"/>
    <s v="Large"/>
  </r>
  <r>
    <d v="2025-07-06T00:00:00"/>
    <x v="12"/>
    <x v="3"/>
    <s v="Splicing Tools Refill"/>
    <n v="6"/>
    <n v="2419.11"/>
    <n v="14514.66"/>
    <n v="12030.44"/>
    <n v="2484.2199999999998"/>
    <x v="1"/>
    <s v="Thabo"/>
    <n v="0"/>
    <n v="0"/>
    <s v="Valid"/>
    <x v="6"/>
    <s v="Q3"/>
    <n v="2025"/>
    <n v="0.17115247618614557"/>
    <s v="Medium"/>
  </r>
  <r>
    <d v="2025-07-12T00:00:00"/>
    <x v="4"/>
    <x v="2"/>
    <s v="Cold Splicing"/>
    <n v="1"/>
    <n v="43462.32"/>
    <n v="43462.32"/>
    <n v="24287.46"/>
    <n v="19174.86"/>
    <x v="1"/>
    <s v="Thabo"/>
    <n v="0"/>
    <n v="0"/>
    <s v="Valid"/>
    <x v="6"/>
    <s v="Q3"/>
    <n v="2025"/>
    <n v="0.44118353553146727"/>
    <s v="Large"/>
  </r>
  <r>
    <d v="2025-07-12T00:00:00"/>
    <x v="3"/>
    <x v="1"/>
    <s v="Installation Kit"/>
    <n v="4"/>
    <n v="10331.120000000001"/>
    <n v="41324.480000000003"/>
    <n v="31292.16"/>
    <n v="10032.32"/>
    <x v="3"/>
    <s v="Carel"/>
    <n v="0"/>
    <n v="0"/>
    <s v="Valid"/>
    <x v="6"/>
    <s v="Q3"/>
    <n v="2025"/>
    <n v="0.24276941899813376"/>
    <s v="Large"/>
  </r>
  <r>
    <d v="2025-07-12T00:00:00"/>
    <x v="7"/>
    <x v="2"/>
    <s v="Repair Service"/>
    <n v="3"/>
    <n v="16486.43"/>
    <n v="49459.29"/>
    <n v="27632.21"/>
    <n v="21827.08"/>
    <x v="4"/>
    <s v="James"/>
    <n v="0"/>
    <n v="0"/>
    <s v="Valid"/>
    <x v="6"/>
    <s v="Q3"/>
    <n v="2025"/>
    <n v="0.44131405849133704"/>
    <s v="Large"/>
  </r>
  <r>
    <d v="2025-07-13T00:00:00"/>
    <x v="12"/>
    <x v="3"/>
    <s v="Consumable Kit"/>
    <n v="2"/>
    <n v="1849.62"/>
    <n v="3699.24"/>
    <n v="2681.6"/>
    <n v="1017.64"/>
    <x v="1"/>
    <s v="Carel"/>
    <n v="0"/>
    <n v="0"/>
    <s v="Valid"/>
    <x v="6"/>
    <s v="Q3"/>
    <n v="2025"/>
    <n v="0.27509434370303093"/>
    <s v="Small"/>
  </r>
  <r>
    <d v="2025-07-18T00:00:00"/>
    <x v="7"/>
    <x v="0"/>
    <s v="Maintenance Visit"/>
    <n v="1"/>
    <n v="13605.08"/>
    <n v="13605.08"/>
    <n v="8948.75"/>
    <n v="4656.33"/>
    <x v="3"/>
    <s v="Thabo"/>
    <n v="0"/>
    <n v="0"/>
    <s v="Valid"/>
    <x v="6"/>
    <s v="Q3"/>
    <n v="2025"/>
    <n v="0.34224936567811437"/>
    <s v="Medium"/>
  </r>
  <r>
    <d v="2025-07-19T00:00:00"/>
    <x v="13"/>
    <x v="0"/>
    <s v="Pulley Lagging"/>
    <n v="2"/>
    <n v="34817.300000000003"/>
    <n v="69634.600000000006"/>
    <n v="38517.79"/>
    <n v="31116.81"/>
    <x v="2"/>
    <s v="Pieter"/>
    <n v="0"/>
    <n v="0"/>
    <s v="Valid"/>
    <x v="6"/>
    <s v="Q3"/>
    <n v="2025"/>
    <n v="0.44685845829515786"/>
    <s v="Large"/>
  </r>
  <r>
    <d v="2025-07-20T00:00:00"/>
    <x v="3"/>
    <x v="1"/>
    <s v="Installation Kit"/>
    <n v="4"/>
    <n v="11697.08"/>
    <n v="46788.32"/>
    <n v="37900.78"/>
    <n v="8887.5400000000009"/>
    <x v="1"/>
    <s v="Pieter"/>
    <n v="0"/>
    <n v="0"/>
    <s v="Valid"/>
    <x v="6"/>
    <s v="Q3"/>
    <n v="2025"/>
    <n v="0.18995210770551285"/>
    <s v="Large"/>
  </r>
  <r>
    <d v="2025-07-24T00:00:00"/>
    <x v="0"/>
    <x v="2"/>
    <s v="Cold Splicing"/>
    <n v="3"/>
    <n v="40830.97"/>
    <n v="122492.91"/>
    <n v="75251.350000000006"/>
    <n v="47241.56"/>
    <x v="0"/>
    <s v="Thabo"/>
    <n v="0"/>
    <n v="0"/>
    <s v="Valid"/>
    <x v="6"/>
    <s v="Q3"/>
    <n v="2025"/>
    <n v="0.3856677092576215"/>
    <s v="Large"/>
  </r>
  <r>
    <d v="2025-07-24T00:00:00"/>
    <x v="8"/>
    <x v="0"/>
    <s v="Pulley Lagging"/>
    <n v="3"/>
    <n v="14485.05"/>
    <n v="43455.15"/>
    <n v="28365.8"/>
    <n v="15089.35"/>
    <x v="3"/>
    <s v="Thabo"/>
    <n v="0"/>
    <n v="0"/>
    <s v="Valid"/>
    <x v="6"/>
    <s v="Q3"/>
    <n v="2025"/>
    <n v="0.34723962522278717"/>
    <s v="Large"/>
  </r>
  <r>
    <d v="2025-07-25T00:00:00"/>
    <x v="5"/>
    <x v="2"/>
    <s v="Emergency Callout"/>
    <n v="1"/>
    <n v="27222.06"/>
    <n v="27222.06"/>
    <n v="14116.47"/>
    <n v="13105.59"/>
    <x v="1"/>
    <s v="Thabo"/>
    <n v="0"/>
    <n v="0"/>
    <s v="Valid"/>
    <x v="6"/>
    <s v="Q3"/>
    <n v="2025"/>
    <n v="0.48143270568061342"/>
    <s v="Medium"/>
  </r>
  <r>
    <d v="2025-07-27T00:00:00"/>
    <x v="14"/>
    <x v="0"/>
    <s v="Maintenance Visit"/>
    <n v="2"/>
    <n v="5430.24"/>
    <n v="10860.48"/>
    <n v="6612.89"/>
    <n v="4247.59"/>
    <x v="0"/>
    <s v="Carel"/>
    <n v="0"/>
    <n v="0"/>
    <s v="Valid"/>
    <x v="6"/>
    <s v="Q3"/>
    <n v="2025"/>
    <n v="0.39110518135478362"/>
    <s v="Medium"/>
  </r>
  <r>
    <d v="2025-07-28T00:00:00"/>
    <x v="6"/>
    <x v="2"/>
    <s v="Repair Service"/>
    <n v="4"/>
    <n v="24412.42"/>
    <n v="97649.68"/>
    <n v="43984.45"/>
    <n v="53665.23"/>
    <x v="4"/>
    <s v="Lerato"/>
    <n v="0"/>
    <n v="0"/>
    <s v="Valid"/>
    <x v="6"/>
    <s v="Q3"/>
    <n v="2025"/>
    <n v="0.54956892843888483"/>
    <s v="Large"/>
  </r>
  <r>
    <d v="2025-07-30T00:00:00"/>
    <x v="0"/>
    <x v="0"/>
    <s v="Site Inspection"/>
    <n v="4"/>
    <n v="6834.71"/>
    <n v="27338.84"/>
    <n v="14082.52"/>
    <n v="13256.32"/>
    <x v="4"/>
    <s v="Lerato"/>
    <n v="0"/>
    <n v="0"/>
    <s v="Valid"/>
    <x v="6"/>
    <s v="Q3"/>
    <n v="2025"/>
    <n v="0.48488962955268033"/>
    <s v="Medium"/>
  </r>
  <r>
    <d v="2025-07-31T00:00:00"/>
    <x v="2"/>
    <x v="2"/>
    <s v="Emergency Callout"/>
    <n v="1"/>
    <n v="15580.13"/>
    <n v="15580.13"/>
    <n v="9142.02"/>
    <n v="6438.11"/>
    <x v="2"/>
    <s v="Pieter"/>
    <n v="0"/>
    <n v="0"/>
    <s v="Valid"/>
    <x v="6"/>
    <s v="Q3"/>
    <n v="2025"/>
    <n v="0.41322569195507353"/>
    <s v="Medium"/>
  </r>
  <r>
    <d v="2025-07-31T00:00:00"/>
    <x v="2"/>
    <x v="4"/>
    <s v="Technical Support Visit"/>
    <n v="1"/>
    <n v="9545.19"/>
    <n v="9545.19"/>
    <n v="4598.3999999999996"/>
    <n v="4946.79"/>
    <x v="3"/>
    <s v="James"/>
    <n v="0"/>
    <n v="0"/>
    <s v="Valid"/>
    <x v="6"/>
    <s v="Q3"/>
    <n v="2025"/>
    <n v="0.51824950577201712"/>
    <s v="Small"/>
  </r>
  <r>
    <d v="2025-08-01T00:00:00"/>
    <x v="2"/>
    <x v="4"/>
    <s v="Technical Support Visit"/>
    <n v="2"/>
    <n v="9466.9"/>
    <n v="18933.8"/>
    <n v="6783.12"/>
    <n v="12150.68"/>
    <x v="0"/>
    <s v="James"/>
    <n v="0"/>
    <n v="0"/>
    <s v="Valid"/>
    <x v="7"/>
    <s v="Q3"/>
    <n v="2025"/>
    <n v="0.64174544993609317"/>
    <s v="Medium"/>
  </r>
  <r>
    <d v="2025-08-04T00:00:00"/>
    <x v="4"/>
    <x v="3"/>
    <s v="Splicing Tools Refill"/>
    <n v="10"/>
    <n v="2365.27"/>
    <n v="23652.7"/>
    <n v="18343.91"/>
    <n v="5308.79"/>
    <x v="4"/>
    <s v="James"/>
    <n v="0"/>
    <n v="0"/>
    <s v="Valid"/>
    <x v="7"/>
    <s v="Q3"/>
    <n v="2025"/>
    <n v="0.22444752607524721"/>
    <s v="Medium"/>
  </r>
  <r>
    <d v="2025-08-04T00:00:00"/>
    <x v="4"/>
    <x v="2"/>
    <s v="Repair Service"/>
    <n v="2"/>
    <n v="6861.59"/>
    <n v="13723.18"/>
    <n v="6277.56"/>
    <n v="7445.62"/>
    <x v="2"/>
    <s v="Carel"/>
    <n v="0"/>
    <n v="0"/>
    <s v="Valid"/>
    <x v="7"/>
    <s v="Q3"/>
    <n v="2025"/>
    <n v="0.54255792024880534"/>
    <s v="Medium"/>
  </r>
  <r>
    <d v="2025-08-05T00:00:00"/>
    <x v="10"/>
    <x v="4"/>
    <s v="Monthly Support Package"/>
    <n v="1"/>
    <n v="14726.84"/>
    <n v="14726.84"/>
    <n v="6117.77"/>
    <n v="8609.07"/>
    <x v="2"/>
    <s v="Pieter"/>
    <n v="0"/>
    <n v="0"/>
    <s v="Valid"/>
    <x v="7"/>
    <s v="Q3"/>
    <n v="2025"/>
    <n v="0.58458365813711566"/>
    <s v="Medium"/>
  </r>
  <r>
    <d v="2025-08-13T00:00:00"/>
    <x v="11"/>
    <x v="2"/>
    <s v="Emergency Callout"/>
    <n v="2"/>
    <n v="10574"/>
    <n v="21148"/>
    <n v="13942.51"/>
    <n v="7205.49"/>
    <x v="0"/>
    <s v="Pieter"/>
    <n v="0"/>
    <n v="0"/>
    <s v="Valid"/>
    <x v="7"/>
    <s v="Q3"/>
    <n v="2025"/>
    <n v="0.34071732551541517"/>
    <s v="Medium"/>
  </r>
  <r>
    <d v="2025-08-14T00:00:00"/>
    <x v="14"/>
    <x v="4"/>
    <s v="Support Retainer"/>
    <n v="1"/>
    <n v="7780.45"/>
    <n v="7780.45"/>
    <n v="3474.47"/>
    <n v="4305.9799999999996"/>
    <x v="1"/>
    <s v="Carel"/>
    <n v="0"/>
    <n v="0"/>
    <s v="Valid"/>
    <x v="7"/>
    <s v="Q3"/>
    <n v="2025"/>
    <n v="0.5534358552525882"/>
    <s v="Small"/>
  </r>
  <r>
    <d v="2025-08-14T00:00:00"/>
    <x v="8"/>
    <x v="0"/>
    <s v="Pulley Lagging"/>
    <n v="2"/>
    <n v="17033.59"/>
    <n v="34067.18"/>
    <n v="19150.22"/>
    <n v="14916.96"/>
    <x v="0"/>
    <s v="Pieter"/>
    <n v="0"/>
    <n v="0"/>
    <s v="Valid"/>
    <x v="7"/>
    <s v="Q3"/>
    <n v="2025"/>
    <n v="0.43786894013534433"/>
    <s v="Large"/>
  </r>
  <r>
    <d v="2025-08-15T00:00:00"/>
    <x v="9"/>
    <x v="1"/>
    <s v="Belt Supply"/>
    <n v="1"/>
    <n v="29502.51"/>
    <n v="29502.51"/>
    <n v="20244.419999999998"/>
    <n v="9258.09"/>
    <x v="4"/>
    <s v="Thabo"/>
    <n v="0"/>
    <n v="0"/>
    <s v="Valid"/>
    <x v="7"/>
    <s v="Q3"/>
    <n v="2025"/>
    <n v="0.31380685914520495"/>
    <s v="Medium"/>
  </r>
  <r>
    <d v="2025-08-20T00:00:00"/>
    <x v="7"/>
    <x v="0"/>
    <s v="Site Inspection"/>
    <n v="2"/>
    <n v="7154.16"/>
    <n v="14308.32"/>
    <n v="8133.82"/>
    <n v="6174.5"/>
    <x v="2"/>
    <s v="James"/>
    <n v="0"/>
    <n v="0"/>
    <s v="Valid"/>
    <x v="7"/>
    <s v="Q3"/>
    <n v="2025"/>
    <n v="0.43153214353606856"/>
    <s v="Medium"/>
  </r>
  <r>
    <d v="2025-08-21T00:00:00"/>
    <x v="11"/>
    <x v="1"/>
    <s v="Belt Supply"/>
    <n v="4"/>
    <n v="56868.52"/>
    <n v="227474.08"/>
    <n v="171092.19"/>
    <n v="56381.89"/>
    <x v="0"/>
    <s v="Pieter"/>
    <n v="0"/>
    <n v="0"/>
    <s v="Valid"/>
    <x v="7"/>
    <s v="Q3"/>
    <n v="2025"/>
    <n v="0.24786072329647404"/>
    <s v="Large"/>
  </r>
  <r>
    <d v="2025-08-24T00:00:00"/>
    <x v="0"/>
    <x v="2"/>
    <s v="Cold Splicing"/>
    <n v="3"/>
    <n v="27042.85"/>
    <n v="81128.55"/>
    <n v="37176.25"/>
    <n v="43952.3"/>
    <x v="2"/>
    <s v="Carel"/>
    <n v="0"/>
    <n v="0"/>
    <s v="Valid"/>
    <x v="7"/>
    <s v="Q3"/>
    <n v="2025"/>
    <n v="0.54176119257647282"/>
    <s v="Large"/>
  </r>
  <r>
    <d v="2025-08-25T00:00:00"/>
    <x v="6"/>
    <x v="2"/>
    <s v="Cold Splicing"/>
    <n v="3"/>
    <n v="13790.41"/>
    <n v="41371.230000000003"/>
    <n v="20663.14"/>
    <n v="20708.09"/>
    <x v="1"/>
    <s v="Pieter"/>
    <n v="0"/>
    <n v="0"/>
    <s v="Valid"/>
    <x v="7"/>
    <s v="Q3"/>
    <n v="2025"/>
    <n v="0.50054325191685134"/>
    <s v="Large"/>
  </r>
  <r>
    <d v="2025-08-26T00:00:00"/>
    <x v="8"/>
    <x v="2"/>
    <s v="Repair Service"/>
    <n v="1"/>
    <n v="18552.21"/>
    <n v="18552.21"/>
    <n v="10781.03"/>
    <n v="7771.18"/>
    <x v="2"/>
    <s v="Thabo"/>
    <n v="0"/>
    <n v="0"/>
    <s v="Valid"/>
    <x v="7"/>
    <s v="Q3"/>
    <n v="2025"/>
    <n v="0.41888163189183397"/>
    <s v="Medium"/>
  </r>
  <r>
    <d v="2025-08-31T00:00:00"/>
    <x v="7"/>
    <x v="0"/>
    <s v="Maintenance Visit"/>
    <n v="1"/>
    <n v="9024.56"/>
    <n v="9024.56"/>
    <n v="5124.17"/>
    <n v="3900.39"/>
    <x v="1"/>
    <s v="Lerato"/>
    <n v="0"/>
    <n v="0"/>
    <s v="Valid"/>
    <x v="7"/>
    <s v="Q3"/>
    <n v="2025"/>
    <n v="0.43219724839770585"/>
    <s v="Small"/>
  </r>
  <r>
    <d v="2025-09-05T00:00:00"/>
    <x v="3"/>
    <x v="3"/>
    <s v="Consumable Kit"/>
    <n v="1"/>
    <n v="5829.69"/>
    <n v="5829.69"/>
    <n v="5109.5200000000004"/>
    <n v="720.17"/>
    <x v="0"/>
    <s v="Pieter"/>
    <n v="0"/>
    <n v="0"/>
    <s v="Valid"/>
    <x v="8"/>
    <s v="Q3"/>
    <n v="2025"/>
    <n v="0.12353487063634602"/>
    <s v="Small"/>
  </r>
  <r>
    <d v="2025-09-06T00:00:00"/>
    <x v="11"/>
    <x v="1"/>
    <s v="Installation Kit"/>
    <n v="2"/>
    <n v="6731.76"/>
    <n v="13463.52"/>
    <n v="10481.540000000001"/>
    <n v="2981.98"/>
    <x v="4"/>
    <s v="Lerato"/>
    <n v="0"/>
    <n v="0"/>
    <s v="Valid"/>
    <x v="8"/>
    <s v="Q3"/>
    <n v="2025"/>
    <n v="0.22148591155953271"/>
    <s v="Medium"/>
  </r>
  <r>
    <d v="2025-09-07T00:00:00"/>
    <x v="4"/>
    <x v="0"/>
    <s v="Maintenance Visit"/>
    <n v="4"/>
    <n v="10781.05"/>
    <n v="43124.2"/>
    <n v="23394.89"/>
    <n v="19729.310000000001"/>
    <x v="4"/>
    <s v="Lerato"/>
    <n v="0"/>
    <n v="0"/>
    <s v="Valid"/>
    <x v="8"/>
    <s v="Q3"/>
    <n v="2025"/>
    <n v="0.45749973332838645"/>
    <s v="Large"/>
  </r>
  <r>
    <d v="2025-09-09T00:00:00"/>
    <x v="10"/>
    <x v="4"/>
    <s v="Technical Support Visit"/>
    <n v="3"/>
    <n v="5262.63"/>
    <n v="15787.89"/>
    <n v="5117.3500000000004"/>
    <n v="10670.54"/>
    <x v="0"/>
    <s v="Carel"/>
    <n v="0"/>
    <n v="0"/>
    <s v="Valid"/>
    <x v="8"/>
    <s v="Q3"/>
    <n v="2025"/>
    <n v="0.67586865629289294"/>
    <s v="Medium"/>
  </r>
  <r>
    <d v="2025-09-10T00:00:00"/>
    <x v="6"/>
    <x v="2"/>
    <s v="Cold Splicing"/>
    <n v="2"/>
    <n v="25636.95"/>
    <n v="51273.9"/>
    <n v="23817.17"/>
    <n v="27456.73"/>
    <x v="4"/>
    <s v="Lerato"/>
    <n v="0"/>
    <n v="0"/>
    <s v="Valid"/>
    <x v="8"/>
    <s v="Q3"/>
    <n v="2025"/>
    <n v="0.53549135135029713"/>
    <s v="Large"/>
  </r>
  <r>
    <d v="2025-09-10T00:00:00"/>
    <x v="12"/>
    <x v="1"/>
    <s v="Industrial Rollers"/>
    <n v="6"/>
    <n v="11019.31"/>
    <n v="66115.86"/>
    <n v="49492.91"/>
    <n v="16622.95"/>
    <x v="3"/>
    <s v="Thabo"/>
    <n v="0"/>
    <n v="0"/>
    <s v="Valid"/>
    <x v="8"/>
    <s v="Q3"/>
    <n v="2025"/>
    <n v="0.25142151973822924"/>
    <s v="Large"/>
  </r>
  <r>
    <d v="2025-09-12T00:00:00"/>
    <x v="8"/>
    <x v="1"/>
    <s v="Belt Supply"/>
    <n v="4"/>
    <n v="72852.62"/>
    <n v="291410.48"/>
    <n v="235927.95"/>
    <n v="55482.53"/>
    <x v="0"/>
    <s v="Carel"/>
    <n v="0"/>
    <n v="0"/>
    <s v="Valid"/>
    <x v="8"/>
    <s v="Q3"/>
    <n v="2025"/>
    <n v="0.19039304969402612"/>
    <s v="Large"/>
  </r>
  <r>
    <d v="2025-09-15T00:00:00"/>
    <x v="6"/>
    <x v="0"/>
    <s v="Maintenance Visit"/>
    <n v="1"/>
    <n v="9137.11"/>
    <n v="9137.11"/>
    <n v="4896.62"/>
    <n v="4240.49"/>
    <x v="0"/>
    <s v="Lerato"/>
    <n v="0"/>
    <n v="0"/>
    <s v="Valid"/>
    <x v="8"/>
    <s v="Q3"/>
    <n v="2025"/>
    <n v="0.46409532116829055"/>
    <s v="Small"/>
  </r>
  <r>
    <d v="2025-09-15T00:00:00"/>
    <x v="11"/>
    <x v="1"/>
    <s v="Belt Supply"/>
    <n v="3"/>
    <n v="25506.69"/>
    <n v="76520.070000000007"/>
    <n v="59383.42"/>
    <n v="17136.650000000001"/>
    <x v="2"/>
    <s v="Lerato"/>
    <n v="0"/>
    <n v="0"/>
    <s v="Valid"/>
    <x v="8"/>
    <s v="Q3"/>
    <n v="2025"/>
    <n v="0.22394974285831154"/>
    <s v="Large"/>
  </r>
  <r>
    <d v="2025-09-16T00:00:00"/>
    <x v="13"/>
    <x v="3"/>
    <s v="Consumable Kit"/>
    <n v="8"/>
    <n v="2444.12"/>
    <n v="19552.96"/>
    <n v="14851.61"/>
    <n v="4701.3500000000004"/>
    <x v="3"/>
    <s v="Pieter"/>
    <n v="0"/>
    <n v="0"/>
    <s v="Valid"/>
    <x v="8"/>
    <s v="Q3"/>
    <n v="2025"/>
    <n v="0.24044185637366416"/>
    <s v="Medium"/>
  </r>
  <r>
    <d v="2025-09-16T00:00:00"/>
    <x v="14"/>
    <x v="3"/>
    <s v="Consumable Kit"/>
    <n v="1"/>
    <n v="4233.58"/>
    <n v="4233.58"/>
    <n v="3270.36"/>
    <n v="963.22"/>
    <x v="3"/>
    <s v="Pieter"/>
    <n v="0"/>
    <n v="0"/>
    <s v="Valid"/>
    <x v="8"/>
    <s v="Q3"/>
    <n v="2025"/>
    <n v="0.22751902645042732"/>
    <s v="Small"/>
  </r>
  <r>
    <d v="2025-09-16T00:00:00"/>
    <x v="13"/>
    <x v="4"/>
    <s v="Support Retainer"/>
    <n v="1"/>
    <n v="8912.25"/>
    <n v="8912.25"/>
    <n v="2404.5100000000002"/>
    <n v="6507.74"/>
    <x v="1"/>
    <s v="James"/>
    <n v="0"/>
    <n v="0"/>
    <s v="Valid"/>
    <x v="8"/>
    <s v="Q3"/>
    <n v="2025"/>
    <n v="0.7302016886869197"/>
    <s v="Small"/>
  </r>
  <r>
    <d v="2025-09-18T00:00:00"/>
    <x v="10"/>
    <x v="4"/>
    <s v="Technical Support Visit"/>
    <n v="2"/>
    <n v="4726.5600000000004"/>
    <n v="9453.1200000000008"/>
    <n v="4093.07"/>
    <n v="5360.05"/>
    <x v="4"/>
    <s v="Pieter"/>
    <n v="0"/>
    <n v="0"/>
    <s v="Valid"/>
    <x v="8"/>
    <s v="Q3"/>
    <n v="2025"/>
    <n v="0.56701385362716217"/>
    <s v="Small"/>
  </r>
  <r>
    <d v="2025-09-18T00:00:00"/>
    <x v="12"/>
    <x v="3"/>
    <s v="Adhesive Pack"/>
    <n v="11"/>
    <n v="1717.25"/>
    <n v="18889.75"/>
    <n v="14938.24"/>
    <n v="3951.51"/>
    <x v="1"/>
    <s v="Lerato"/>
    <n v="0"/>
    <n v="0"/>
    <s v="Valid"/>
    <x v="8"/>
    <s v="Q3"/>
    <n v="2025"/>
    <n v="0.20918805172117155"/>
    <s v="Medium"/>
  </r>
  <r>
    <d v="2025-09-22T00:00:00"/>
    <x v="8"/>
    <x v="0"/>
    <s v="Pulley Lagging"/>
    <n v="3"/>
    <n v="34378.69"/>
    <n v="103136.07"/>
    <n v="62386.3"/>
    <n v="40749.769999999997"/>
    <x v="0"/>
    <s v="James"/>
    <n v="0"/>
    <n v="0"/>
    <s v="Valid"/>
    <x v="8"/>
    <s v="Q3"/>
    <n v="2025"/>
    <n v="0.39510687192172433"/>
    <s v="Large"/>
  </r>
  <r>
    <d v="2025-09-23T00:00:00"/>
    <x v="6"/>
    <x v="2"/>
    <s v="Cold Splicing"/>
    <n v="1"/>
    <n v="26742.21"/>
    <n v="26742.21"/>
    <n v="13754.13"/>
    <n v="12988.08"/>
    <x v="4"/>
    <s v="Thabo"/>
    <n v="0"/>
    <n v="0"/>
    <s v="Valid"/>
    <x v="8"/>
    <s v="Q3"/>
    <n v="2025"/>
    <n v="0.48567713737944623"/>
    <s v="Medium"/>
  </r>
  <r>
    <d v="2025-09-23T00:00:00"/>
    <x v="11"/>
    <x v="1"/>
    <s v="Industrial Rollers"/>
    <n v="3"/>
    <n v="15214.9"/>
    <n v="45644.7"/>
    <n v="34289.480000000003"/>
    <n v="11355.22"/>
    <x v="0"/>
    <s v="Carel"/>
    <n v="0"/>
    <n v="0"/>
    <s v="Valid"/>
    <x v="8"/>
    <s v="Q3"/>
    <n v="2025"/>
    <n v="0.24877411835328089"/>
    <s v="Large"/>
  </r>
  <r>
    <d v="2025-09-25T00:00:00"/>
    <x v="13"/>
    <x v="4"/>
    <s v="Technical Support Visit"/>
    <n v="1"/>
    <n v="10950.08"/>
    <n v="10950.08"/>
    <n v="3625.75"/>
    <n v="7324.33"/>
    <x v="1"/>
    <s v="Carel"/>
    <n v="0"/>
    <n v="0"/>
    <s v="Valid"/>
    <x v="8"/>
    <s v="Q3"/>
    <n v="2025"/>
    <n v="0.66888369765335043"/>
    <s v="Medium"/>
  </r>
  <r>
    <d v="2025-09-26T00:00:00"/>
    <x v="13"/>
    <x v="4"/>
    <s v="Monthly Support Package"/>
    <n v="1"/>
    <n v="18355.7"/>
    <n v="18355.7"/>
    <n v="6234.63"/>
    <n v="12121.07"/>
    <x v="0"/>
    <s v="Thabo"/>
    <n v="0"/>
    <n v="0"/>
    <s v="Valid"/>
    <x v="8"/>
    <s v="Q3"/>
    <n v="2025"/>
    <n v="0.6603436534700392"/>
    <s v="Medium"/>
  </r>
  <r>
    <d v="2025-09-29T00:00:00"/>
    <x v="11"/>
    <x v="2"/>
    <s v="Repair Service"/>
    <n v="4"/>
    <n v="12441.7"/>
    <n v="49766.8"/>
    <n v="24254.52"/>
    <n v="25512.28"/>
    <x v="1"/>
    <s v="James"/>
    <n v="0"/>
    <n v="0"/>
    <s v="Valid"/>
    <x v="8"/>
    <s v="Q3"/>
    <n v="2025"/>
    <n v="0.51263653680767096"/>
    <s v="Large"/>
  </r>
  <r>
    <d v="2025-10-03T00:00:00"/>
    <x v="3"/>
    <x v="3"/>
    <s v="Splicing Tools Refill"/>
    <n v="8"/>
    <n v="1628.88"/>
    <n v="13031.04"/>
    <n v="10695.39"/>
    <n v="2335.65"/>
    <x v="0"/>
    <s v="Pieter"/>
    <n v="0"/>
    <n v="0"/>
    <s v="Valid"/>
    <x v="9"/>
    <s v="Q4"/>
    <n v="2025"/>
    <n v="0.17923742080447916"/>
    <s v="Medium"/>
  </r>
  <r>
    <d v="2025-10-03T00:00:00"/>
    <x v="6"/>
    <x v="2"/>
    <s v="Repair Service"/>
    <n v="3"/>
    <n v="11576.15"/>
    <n v="34728.449999999997"/>
    <n v="17754.61"/>
    <n v="16973.84"/>
    <x v="3"/>
    <s v="Thabo"/>
    <n v="0"/>
    <n v="0"/>
    <s v="Valid"/>
    <x v="9"/>
    <s v="Q4"/>
    <n v="2025"/>
    <n v="0.48875892819863836"/>
    <s v="Large"/>
  </r>
  <r>
    <d v="2025-10-07T00:00:00"/>
    <x v="6"/>
    <x v="4"/>
    <s v="Monthly Support Package"/>
    <n v="1"/>
    <n v="12102.3"/>
    <n v="12102.3"/>
    <n v="3499.65"/>
    <n v="8602.65"/>
    <x v="0"/>
    <s v="Carel"/>
    <n v="0"/>
    <n v="0"/>
    <s v="Valid"/>
    <x v="9"/>
    <s v="Q4"/>
    <n v="2025"/>
    <n v="0.71082769390942224"/>
    <s v="Medium"/>
  </r>
  <r>
    <d v="2025-10-08T00:00:00"/>
    <x v="1"/>
    <x v="1"/>
    <s v="Belt Supply"/>
    <n v="2"/>
    <n v="55793.16"/>
    <n v="111586.32"/>
    <n v="86750.29"/>
    <n v="24836.03"/>
    <x v="4"/>
    <s v="Thabo"/>
    <n v="0"/>
    <n v="0"/>
    <s v="Valid"/>
    <x v="9"/>
    <s v="Q4"/>
    <n v="2025"/>
    <n v="0.22257235474742779"/>
    <s v="Large"/>
  </r>
  <r>
    <d v="2025-10-10T00:00:00"/>
    <x v="10"/>
    <x v="2"/>
    <s v="Cold Splicing"/>
    <n v="2"/>
    <n v="34225.5"/>
    <n v="68451"/>
    <n v="38256.519999999997"/>
    <n v="30194.48"/>
    <x v="4"/>
    <s v="Lerato"/>
    <n v="0"/>
    <n v="0"/>
    <s v="Valid"/>
    <x v="9"/>
    <s v="Q4"/>
    <n v="2025"/>
    <n v="0.44111086762793822"/>
    <s v="Large"/>
  </r>
  <r>
    <d v="2025-10-10T00:00:00"/>
    <x v="0"/>
    <x v="2"/>
    <s v="Emergency Callout"/>
    <n v="2"/>
    <n v="16303.86"/>
    <n v="32607.72"/>
    <n v="20133.47"/>
    <n v="12474.25"/>
    <x v="4"/>
    <s v="Pieter"/>
    <n v="0"/>
    <n v="0"/>
    <s v="Valid"/>
    <x v="9"/>
    <s v="Q4"/>
    <n v="2025"/>
    <n v="0.38255511271563908"/>
    <s v="Large"/>
  </r>
  <r>
    <d v="2025-10-16T00:00:00"/>
    <x v="10"/>
    <x v="0"/>
    <s v="Pulley Lagging"/>
    <n v="3"/>
    <n v="26042.36"/>
    <n v="78127.08"/>
    <n v="45962.720000000001"/>
    <n v="32164.36"/>
    <x v="0"/>
    <s v="Pieter"/>
    <n v="0"/>
    <n v="0"/>
    <s v="Valid"/>
    <x v="9"/>
    <s v="Q4"/>
    <n v="2025"/>
    <n v="0.4116928470896391"/>
    <s v="Large"/>
  </r>
  <r>
    <d v="2025-10-16T00:00:00"/>
    <x v="6"/>
    <x v="2"/>
    <s v="Repair Service"/>
    <n v="2"/>
    <n v="15437.79"/>
    <n v="30875.58"/>
    <n v="15071.05"/>
    <n v="15804.53"/>
    <x v="3"/>
    <s v="Pieter"/>
    <n v="0"/>
    <n v="0"/>
    <s v="Valid"/>
    <x v="9"/>
    <s v="Q4"/>
    <n v="2025"/>
    <n v="0.51187799549028712"/>
    <s v="Large"/>
  </r>
  <r>
    <d v="2025-10-18T00:00:00"/>
    <x v="8"/>
    <x v="0"/>
    <s v="Maintenance Visit"/>
    <n v="4"/>
    <n v="6917.33"/>
    <n v="27669.32"/>
    <n v="15334.54"/>
    <n v="12334.78"/>
    <x v="0"/>
    <s v="James"/>
    <n v="0"/>
    <n v="0"/>
    <s v="Valid"/>
    <x v="9"/>
    <s v="Q4"/>
    <n v="2025"/>
    <n v="0.44579266855853344"/>
    <s v="Medium"/>
  </r>
  <r>
    <d v="2025-10-23T00:00:00"/>
    <x v="7"/>
    <x v="0"/>
    <s v="Maintenance Visit"/>
    <n v="1"/>
    <n v="10767.82"/>
    <n v="10767.82"/>
    <n v="6729.03"/>
    <n v="4038.79"/>
    <x v="2"/>
    <s v="Carel"/>
    <n v="0"/>
    <n v="0"/>
    <s v="Valid"/>
    <x v="9"/>
    <s v="Q4"/>
    <n v="2025"/>
    <n v="0.37507963543224165"/>
    <s v="Medium"/>
  </r>
  <r>
    <d v="2025-10-25T00:00:00"/>
    <x v="6"/>
    <x v="4"/>
    <s v="Monthly Support Package"/>
    <n v="1"/>
    <n v="20332.39"/>
    <n v="20332.39"/>
    <n v="8264.18"/>
    <n v="12068.21"/>
    <x v="4"/>
    <s v="James"/>
    <n v="0"/>
    <n v="0"/>
    <s v="Valid"/>
    <x v="9"/>
    <s v="Q4"/>
    <n v="2025"/>
    <n v="0.59354606123529996"/>
    <s v="Medium"/>
  </r>
  <r>
    <d v="2025-10-26T00:00:00"/>
    <x v="12"/>
    <x v="1"/>
    <s v="Belt Supply"/>
    <n v="4"/>
    <n v="25054.55"/>
    <n v="100218.2"/>
    <n v="74196.259999999995"/>
    <n v="26021.94"/>
    <x v="4"/>
    <s v="Thabo"/>
    <n v="0"/>
    <n v="0"/>
    <s v="Valid"/>
    <x v="9"/>
    <s v="Q4"/>
    <n v="2025"/>
    <n v="0.25965283750855633"/>
    <s v="Large"/>
  </r>
  <r>
    <d v="2025-10-28T00:00:00"/>
    <x v="0"/>
    <x v="0"/>
    <s v="Pulley Lagging"/>
    <n v="3"/>
    <n v="14038.81"/>
    <n v="42116.43"/>
    <n v="25156.39"/>
    <n v="16960.04"/>
    <x v="0"/>
    <s v="Carel"/>
    <n v="0"/>
    <n v="0"/>
    <s v="Valid"/>
    <x v="9"/>
    <s v="Q4"/>
    <n v="2025"/>
    <n v="0.40269415047761647"/>
    <s v="Large"/>
  </r>
  <r>
    <d v="2025-11-05T00:00:00"/>
    <x v="9"/>
    <x v="1"/>
    <s v="Installation Kit"/>
    <n v="2"/>
    <n v="7419.77"/>
    <n v="14839.54"/>
    <n v="10618.53"/>
    <n v="4221.01"/>
    <x v="0"/>
    <s v="Carel"/>
    <n v="0"/>
    <n v="0"/>
    <s v="Valid"/>
    <x v="10"/>
    <s v="Q4"/>
    <n v="2025"/>
    <n v="0.28444345309895053"/>
    <s v="Medium"/>
  </r>
  <r>
    <d v="2025-11-05T00:00:00"/>
    <x v="0"/>
    <x v="0"/>
    <s v="Pulley Lagging"/>
    <n v="1"/>
    <n v="27025.96"/>
    <n v="27025.96"/>
    <n v="14047.74"/>
    <n v="12978.22"/>
    <x v="2"/>
    <s v="Carel"/>
    <n v="0"/>
    <n v="0"/>
    <s v="Valid"/>
    <x v="10"/>
    <s v="Q4"/>
    <n v="2025"/>
    <n v="0.48021309881314111"/>
    <s v="Medium"/>
  </r>
  <r>
    <d v="2025-11-06T00:00:00"/>
    <x v="6"/>
    <x v="2"/>
    <s v="Repair Service"/>
    <n v="1"/>
    <n v="27180.18"/>
    <n v="27180.18"/>
    <n v="14924.01"/>
    <n v="12256.17"/>
    <x v="2"/>
    <s v="Lerato"/>
    <n v="0"/>
    <n v="0"/>
    <s v="Valid"/>
    <x v="10"/>
    <s v="Q4"/>
    <n v="2025"/>
    <n v="0.4509230623196756"/>
    <s v="Medium"/>
  </r>
  <r>
    <d v="2025-11-09T00:00:00"/>
    <x v="7"/>
    <x v="2"/>
    <s v="Cold Splicing"/>
    <n v="1"/>
    <n v="31159.46"/>
    <n v="31159.46"/>
    <n v="20151.14"/>
    <n v="11008.32"/>
    <x v="0"/>
    <s v="Thabo"/>
    <n v="0"/>
    <n v="0"/>
    <s v="Valid"/>
    <x v="10"/>
    <s v="Q4"/>
    <n v="2025"/>
    <n v="0.353289819528323"/>
    <s v="Large"/>
  </r>
  <r>
    <d v="2025-11-14T00:00:00"/>
    <x v="11"/>
    <x v="2"/>
    <s v="Repair Service"/>
    <n v="2"/>
    <n v="24291.03"/>
    <n v="48582.06"/>
    <n v="30629.15"/>
    <n v="17952.91"/>
    <x v="1"/>
    <s v="Lerato"/>
    <n v="0"/>
    <n v="0"/>
    <s v="Valid"/>
    <x v="10"/>
    <s v="Q4"/>
    <n v="2025"/>
    <n v="0.36953784998001321"/>
    <s v="Large"/>
  </r>
  <r>
    <d v="2025-11-14T00:00:00"/>
    <x v="0"/>
    <x v="2"/>
    <s v="Cold Splicing"/>
    <n v="1"/>
    <n v="24771.1"/>
    <n v="24771.1"/>
    <n v="15672.33"/>
    <n v="9098.77"/>
    <x v="4"/>
    <s v="Lerato"/>
    <n v="0"/>
    <n v="0"/>
    <s v="Valid"/>
    <x v="10"/>
    <s v="Q4"/>
    <n v="2025"/>
    <n v="0.36731392630928789"/>
    <s v="Medium"/>
  </r>
  <r>
    <d v="2025-11-15T00:00:00"/>
    <x v="14"/>
    <x v="3"/>
    <s v="Splicing Tools Refill"/>
    <n v="2"/>
    <n v="2386.9699999999998"/>
    <n v="4773.9399999999996"/>
    <n v="4018.99"/>
    <n v="754.95"/>
    <x v="4"/>
    <s v="Carel"/>
    <n v="0"/>
    <n v="0"/>
    <s v="Valid"/>
    <x v="10"/>
    <s v="Q4"/>
    <n v="2025"/>
    <n v="0.15813981742543898"/>
    <s v="Small"/>
  </r>
  <r>
    <d v="2025-11-16T00:00:00"/>
    <x v="11"/>
    <x v="2"/>
    <s v="Repair Service"/>
    <n v="1"/>
    <n v="6548.52"/>
    <n v="6548.52"/>
    <n v="3771.98"/>
    <n v="2776.54"/>
    <x v="1"/>
    <s v="Pieter"/>
    <n v="0"/>
    <n v="0"/>
    <s v="Valid"/>
    <x v="10"/>
    <s v="Q4"/>
    <n v="2025"/>
    <n v="0.42399504010066391"/>
    <s v="Small"/>
  </r>
  <r>
    <d v="2025-11-16T00:00:00"/>
    <x v="10"/>
    <x v="2"/>
    <s v="Repair Service"/>
    <n v="3"/>
    <n v="20184.63"/>
    <n v="60553.89"/>
    <n v="31351.360000000001"/>
    <n v="29202.53"/>
    <x v="0"/>
    <s v="Lerato"/>
    <n v="0"/>
    <n v="0"/>
    <s v="Valid"/>
    <x v="10"/>
    <s v="Q4"/>
    <n v="2025"/>
    <n v="0.48225687895525787"/>
    <s v="Large"/>
  </r>
  <r>
    <d v="2025-11-18T00:00:00"/>
    <x v="0"/>
    <x v="0"/>
    <s v="Pulley Lagging"/>
    <n v="2"/>
    <n v="38078.92"/>
    <n v="76157.84"/>
    <n v="39917.120000000003"/>
    <n v="36240.720000000001"/>
    <x v="0"/>
    <s v="Carel"/>
    <n v="0"/>
    <n v="0"/>
    <s v="Valid"/>
    <x v="10"/>
    <s v="Q4"/>
    <n v="2025"/>
    <n v="0.47586328603857464"/>
    <s v="Large"/>
  </r>
  <r>
    <d v="2025-11-19T00:00:00"/>
    <x v="6"/>
    <x v="2"/>
    <s v="Cold Splicing"/>
    <n v="2"/>
    <n v="30131.08"/>
    <n v="60262.16"/>
    <n v="29340"/>
    <n v="30922.16"/>
    <x v="0"/>
    <s v="Lerato"/>
    <n v="0"/>
    <n v="0"/>
    <s v="Valid"/>
    <x v="10"/>
    <s v="Q4"/>
    <n v="2025"/>
    <n v="0.51312730907753723"/>
    <s v="Large"/>
  </r>
  <r>
    <d v="2025-11-19T00:00:00"/>
    <x v="4"/>
    <x v="1"/>
    <s v="Installation Kit"/>
    <n v="6"/>
    <n v="5100.04"/>
    <n v="30600.240000000002"/>
    <n v="23400.03"/>
    <n v="7200.21"/>
    <x v="4"/>
    <s v="Lerato"/>
    <n v="0"/>
    <n v="0"/>
    <s v="Valid"/>
    <x v="10"/>
    <s v="Q4"/>
    <n v="2025"/>
    <n v="0.23529913490874579"/>
    <s v="Large"/>
  </r>
  <r>
    <d v="2025-12-03T00:00:00"/>
    <x v="1"/>
    <x v="0"/>
    <s v="Site Inspection"/>
    <n v="4"/>
    <n v="7189.15"/>
    <n v="28756.6"/>
    <n v="15750.11"/>
    <n v="13006.49"/>
    <x v="3"/>
    <s v="James"/>
    <n v="0"/>
    <n v="0"/>
    <s v="Valid"/>
    <x v="11"/>
    <s v="Q4"/>
    <n v="2025"/>
    <n v="0.45229582078548924"/>
    <s v="Medium"/>
  </r>
  <r>
    <d v="2025-12-04T00:00:00"/>
    <x v="5"/>
    <x v="2"/>
    <s v="Emergency Callout"/>
    <n v="2"/>
    <n v="27990.09"/>
    <n v="55980.18"/>
    <n v="29122.85"/>
    <n v="26857.33"/>
    <x v="4"/>
    <s v="Thabo"/>
    <n v="0"/>
    <n v="0"/>
    <s v="Valid"/>
    <x v="11"/>
    <s v="Q4"/>
    <n v="2025"/>
    <n v="0.47976498110581284"/>
    <s v="Large"/>
  </r>
  <r>
    <d v="2025-12-05T00:00:00"/>
    <x v="2"/>
    <x v="4"/>
    <s v="Technical Support Visit"/>
    <n v="3"/>
    <n v="10827.3"/>
    <n v="32481.9"/>
    <n v="15423.64"/>
    <n v="17058.259999999998"/>
    <x v="4"/>
    <s v="Thabo"/>
    <n v="0"/>
    <n v="0"/>
    <s v="Valid"/>
    <x v="11"/>
    <s v="Q4"/>
    <n v="2025"/>
    <n v="0.52516201330587187"/>
    <s v="Large"/>
  </r>
  <r>
    <d v="2025-12-08T00:00:00"/>
    <x v="6"/>
    <x v="0"/>
    <s v="Site Inspection"/>
    <n v="5"/>
    <n v="4941.6499999999996"/>
    <n v="24708.25"/>
    <n v="15345.2"/>
    <n v="9363.0499999999993"/>
    <x v="4"/>
    <s v="James"/>
    <n v="0"/>
    <n v="0"/>
    <s v="Valid"/>
    <x v="11"/>
    <s v="Q4"/>
    <n v="2025"/>
    <n v="0.37894427974461969"/>
    <s v="Medium"/>
  </r>
  <r>
    <d v="2025-12-15T00:00:00"/>
    <x v="6"/>
    <x v="0"/>
    <s v="Pulley Lagging"/>
    <n v="2"/>
    <n v="35321.85"/>
    <n v="70643.7"/>
    <n v="36466.9"/>
    <n v="34176.800000000003"/>
    <x v="4"/>
    <s v="Thabo"/>
    <n v="0"/>
    <n v="0"/>
    <s v="Valid"/>
    <x v="11"/>
    <s v="Q4"/>
    <n v="2025"/>
    <n v="0.48379119440233176"/>
    <s v="Large"/>
  </r>
  <r>
    <d v="2025-12-15T00:00:00"/>
    <x v="0"/>
    <x v="0"/>
    <s v="Site Inspection"/>
    <n v="3"/>
    <n v="7493.16"/>
    <n v="22479.48"/>
    <n v="13696.85"/>
    <n v="8782.6299999999992"/>
    <x v="1"/>
    <s v="Carel"/>
    <n v="0"/>
    <n v="0"/>
    <s v="Valid"/>
    <x v="11"/>
    <s v="Q4"/>
    <n v="2025"/>
    <n v="0.3906954253390203"/>
    <s v="Medium"/>
  </r>
  <r>
    <d v="2025-12-17T00:00:00"/>
    <x v="3"/>
    <x v="3"/>
    <s v="Adhesive Pack"/>
    <n v="6"/>
    <n v="2079.66"/>
    <n v="12477.96"/>
    <n v="10192.85"/>
    <n v="2285.11"/>
    <x v="0"/>
    <s v="Pieter"/>
    <n v="0"/>
    <n v="0"/>
    <s v="Valid"/>
    <x v="11"/>
    <s v="Q4"/>
    <n v="2025"/>
    <n v="0.18313169780957786"/>
    <s v="Medium"/>
  </r>
  <r>
    <d v="2025-12-17T00:00:00"/>
    <x v="3"/>
    <x v="3"/>
    <s v="Adhesive Pack"/>
    <n v="6"/>
    <n v="3033.43"/>
    <n v="18200.580000000002"/>
    <n v="13928.07"/>
    <n v="4272.51"/>
    <x v="4"/>
    <s v="Thabo"/>
    <n v="0"/>
    <n v="0"/>
    <s v="Valid"/>
    <x v="11"/>
    <s v="Q4"/>
    <n v="2025"/>
    <n v="0.23474581579268353"/>
    <s v="Medium"/>
  </r>
  <r>
    <d v="2025-12-24T00:00:00"/>
    <x v="11"/>
    <x v="2"/>
    <s v="Cold Splicing"/>
    <n v="1"/>
    <n v="13063.17"/>
    <n v="13063.17"/>
    <n v="7603.28"/>
    <n v="5459.89"/>
    <x v="3"/>
    <s v="Lerato"/>
    <n v="0"/>
    <n v="0"/>
    <s v="Valid"/>
    <x v="11"/>
    <s v="Q4"/>
    <n v="2025"/>
    <n v="0.41796057159173466"/>
    <s v="Medium"/>
  </r>
  <r>
    <d v="2025-12-26T00:00:00"/>
    <x v="8"/>
    <x v="1"/>
    <s v="Installation Kit"/>
    <n v="6"/>
    <n v="13811.03"/>
    <n v="82866.179999999993"/>
    <n v="64096.79"/>
    <n v="18769.39"/>
    <x v="1"/>
    <s v="Thabo"/>
    <n v="0"/>
    <n v="0"/>
    <s v="Valid"/>
    <x v="11"/>
    <s v="Q4"/>
    <n v="2025"/>
    <n v="0.22650241630542159"/>
    <s v="Large"/>
  </r>
  <r>
    <d v="2025-12-27T00:00:00"/>
    <x v="6"/>
    <x v="2"/>
    <s v="Emergency Callout"/>
    <n v="1"/>
    <n v="25033.89"/>
    <n v="25033.89"/>
    <n v="15524.56"/>
    <n v="9509.33"/>
    <x v="0"/>
    <s v="Pieter"/>
    <n v="0"/>
    <n v="0"/>
    <s v="Valid"/>
    <x v="11"/>
    <s v="Q4"/>
    <n v="2025"/>
    <n v="0.37985826413713569"/>
    <s v="Medium"/>
  </r>
  <r>
    <d v="2025-12-30T00:00:00"/>
    <x v="11"/>
    <x v="3"/>
    <s v="Splicing Tools Refill"/>
    <n v="10"/>
    <n v="2290.34"/>
    <n v="22903.4"/>
    <n v="19542.419999999998"/>
    <n v="3360.98"/>
    <x v="2"/>
    <s v="Pieter"/>
    <n v="0"/>
    <n v="0"/>
    <s v="Valid"/>
    <x v="11"/>
    <s v="Q4"/>
    <n v="2025"/>
    <n v="0.14674589798894486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6A584-1C22-44A6-AD03-8DCDF305867C}" name="Revenue by Region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5:F41" firstHeaderRow="1" firstDataRow="1" firstDataCol="1"/>
  <pivotFields count="19">
    <pivotField numFmtId="164" showAll="0"/>
    <pivotField showAll="0"/>
    <pivotField showAll="0"/>
    <pivotField showAll="0"/>
    <pivotField numFmtId="1" showAll="0"/>
    <pivotField numFmtId="4" showAll="0"/>
    <pivotField dataField="1" numFmtId="4" showAll="0"/>
    <pivotField numFmtId="4" showAll="0"/>
    <pivotField numFmtId="4"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4" showAll="0"/>
    <pivotField showAll="0"/>
    <pivotField showAll="0"/>
    <pivotField showAll="0"/>
    <pivotField showAll="0"/>
    <pivotField numFmtId="10"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5BEF2-4EF6-4860-92D8-92A9A40D8F31}" name="Top Customers by Revenue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5:B51" firstHeaderRow="1" firstDataRow="1" firstDataCol="1"/>
  <pivotFields count="19">
    <pivotField numFmtId="164" showAll="0"/>
    <pivotField axis="axisRow" showAll="0" sortType="descending">
      <items count="16">
        <item x="8"/>
        <item x="4"/>
        <item x="1"/>
        <item x="6"/>
        <item x="13"/>
        <item x="12"/>
        <item x="3"/>
        <item x="11"/>
        <item x="5"/>
        <item x="7"/>
        <item x="0"/>
        <item x="2"/>
        <item x="9"/>
        <item x="10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4" showAll="0"/>
    <pivotField dataField="1" numFmtId="4" showAll="0"/>
    <pivotField numFmtId="4" showAll="0"/>
    <pivotField numFmtId="4"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0" showAll="0"/>
    <pivotField showAll="0"/>
  </pivotFields>
  <rowFields count="1">
    <field x="1"/>
  </rowFields>
  <rowItems count="16">
    <i>
      <x v="3"/>
    </i>
    <i>
      <x/>
    </i>
    <i>
      <x v="10"/>
    </i>
    <i>
      <x v="7"/>
    </i>
    <i>
      <x v="12"/>
    </i>
    <i>
      <x v="1"/>
    </i>
    <i>
      <x v="11"/>
    </i>
    <i>
      <x v="13"/>
    </i>
    <i>
      <x v="6"/>
    </i>
    <i>
      <x v="5"/>
    </i>
    <i>
      <x v="9"/>
    </i>
    <i>
      <x v="4"/>
    </i>
    <i>
      <x v="8"/>
    </i>
    <i>
      <x v="2"/>
    </i>
    <i>
      <x v="14"/>
    </i>
    <i t="grand">
      <x/>
    </i>
  </rowItems>
  <colItems count="1">
    <i/>
  </colItems>
  <dataFields count="1">
    <dataField name="Sum of Revenue" fld="6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A78C3-02E3-40E8-B7F8-45C5356016FE}" name="Gross Profit by Category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20:F26" firstHeaderRow="1" firstDataRow="1" firstDataCol="1"/>
  <pivotFields count="19">
    <pivotField numFmtId="164"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numFmtId="1" showAll="0"/>
    <pivotField numFmtId="4" showAll="0"/>
    <pivotField numFmtId="4" showAll="0"/>
    <pivotField numFmtId="4" showAll="0"/>
    <pivotField dataField="1" numFmtId="4"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0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ross_Profit" fld="8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0CCB6-55B7-4B7C-9C9F-D6D6F914FF02}" name="Revenue by Category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0:B26" firstHeaderRow="1" firstDataRow="1" firstDataCol="1"/>
  <pivotFields count="19">
    <pivotField numFmtId="164"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numFmtId="1" showAll="0"/>
    <pivotField numFmtId="4" showAll="0"/>
    <pivotField dataField="1" numFmtId="4" showAll="0"/>
    <pivotField numFmtId="4" showAll="0"/>
    <pivotField numFmtId="4"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10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F8EB6-8344-4258-B6E3-85FAB1603A71}" name="Monthly Gross Profit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3:F16" firstHeaderRow="1" firstDataRow="1" firstDataCol="1"/>
  <pivotFields count="19">
    <pivotField numFmtId="164" showAll="0"/>
    <pivotField showAll="0"/>
    <pivotField showAll="0"/>
    <pivotField showAll="0"/>
    <pivotField numFmtId="1" showAll="0"/>
    <pivotField numFmtId="4" showAll="0"/>
    <pivotField numFmtId="4" showAll="0"/>
    <pivotField numFmtId="4" showAll="0"/>
    <pivotField dataField="1" numFmtId="4" showAll="0"/>
    <pivotField showAll="0"/>
    <pivotField showAll="0"/>
    <pivotField showAll="0"/>
    <pivotField numFmtId="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0"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_Profit" fld="8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FA1A9-9B31-41F9-9B1B-96F6CA4BE2A6}" name="Monthly Revenue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6" firstHeaderRow="1" firstDataRow="1" firstDataCol="1"/>
  <pivotFields count="19">
    <pivotField numFmtId="164" showAll="0"/>
    <pivotField showAll="0"/>
    <pivotField showAll="0"/>
    <pivotField showAll="0"/>
    <pivotField numFmtId="1" showAll="0"/>
    <pivotField numFmtId="4" showAll="0"/>
    <pivotField dataField="1" numFmtId="4" showAll="0"/>
    <pivotField numFmtId="4" showAll="0"/>
    <pivotField numFmtId="4" showAll="0"/>
    <pivotField showAll="0"/>
    <pivotField showAll="0"/>
    <pivotField showAll="0"/>
    <pivotField numFmtId="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0"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6" baseField="0" baseItem="0" numFmtId="165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F0C09-9FE4-465E-AC68-C8B61FD652B6}" name="tblRawBusinessData" displayName="tblRawBusinessData" ref="A1:K201" totalsRowShown="0">
  <autoFilter ref="A1:K201" xr:uid="{9BDF0C09-9FE4-465E-AC68-C8B61FD652B6}"/>
  <tableColumns count="11">
    <tableColumn id="1" xr3:uid="{78B26DC0-1333-489D-AE2B-10F0BC916FF6}" name="Date" dataDxfId="5"/>
    <tableColumn id="2" xr3:uid="{8A28ECEC-1235-4D5B-A565-2DA46EB98C34}" name="Customer"/>
    <tableColumn id="3" xr3:uid="{D7F4B80A-7EF2-4749-ACB6-6E63D4B06556}" name="Category"/>
    <tableColumn id="4" xr3:uid="{B511C125-1AE4-4A1C-9F83-FB3C1F16535C}" name="Product_Service"/>
    <tableColumn id="5" xr3:uid="{96D63172-F7EF-4E42-97A5-E4108A235019}" name="Quantity" dataDxfId="4"/>
    <tableColumn id="6" xr3:uid="{5994B1F7-0104-4211-A7A4-7ADB8CA955A4}" name="Unit_Price" dataDxfId="3"/>
    <tableColumn id="7" xr3:uid="{0C15F857-D476-448F-A605-95A8305DCBFA}" name="Revenue" dataDxfId="2"/>
    <tableColumn id="8" xr3:uid="{F742965D-61A8-460F-A698-222AB2E2F934}" name="Direct_Cost" dataDxfId="1"/>
    <tableColumn id="9" xr3:uid="{B0B4C499-1FD3-4AB3-8954-6F860C7D9602}" name="Gross_Profit" dataDxfId="0"/>
    <tableColumn id="10" xr3:uid="{1A64595A-B03D-4D3C-ACF0-26723ADBF831}" name="Region"/>
    <tableColumn id="11" xr3:uid="{58706D83-02CC-4EAA-85C9-177DD2CFA26F}" name="Salesper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C3043D-D44F-487D-BD05-90BBFFD31010}" name="tblRawBusinessData3" displayName="tblRawBusinessData3" ref="A1:S201" totalsRowShown="0">
  <autoFilter ref="A1:S201" xr:uid="{9BDF0C09-9FE4-465E-AC68-C8B61FD652B6}"/>
  <tableColumns count="19">
    <tableColumn id="1" xr3:uid="{5B37A53A-FF49-44DE-8591-253947D6148A}" name="Date" dataDxfId="19"/>
    <tableColumn id="2" xr3:uid="{DD84CF8A-743C-4385-A6EB-60715DC296EA}" name="Customer"/>
    <tableColumn id="3" xr3:uid="{174D3140-0558-4C07-90FE-232069F869F9}" name="Category"/>
    <tableColumn id="4" xr3:uid="{5496E9D7-AAE0-4FEE-B4BA-8B3EE60F2D8B}" name="Product_Service"/>
    <tableColumn id="5" xr3:uid="{01A4BE4B-6E8A-4A5D-97B9-C9565BA2B7A9}" name="Quantity" dataDxfId="18"/>
    <tableColumn id="6" xr3:uid="{C13982A7-5902-4882-BF7F-561DECD545F2}" name="Unit_Price" dataDxfId="17"/>
    <tableColumn id="7" xr3:uid="{79A28E03-9554-4E29-BD26-FF879D1D8F56}" name="Revenue" dataDxfId="16"/>
    <tableColumn id="8" xr3:uid="{49E5AC3F-F569-4778-A4FB-E4FDA3BC17A7}" name="Direct_Cost" dataDxfId="15"/>
    <tableColumn id="9" xr3:uid="{8A05D36C-830F-42E2-A251-0EC83ABCE45E}" name="Gross_Profit" dataDxfId="14"/>
    <tableColumn id="10" xr3:uid="{B01CA15E-143E-4284-A0E9-AA90E232C975}" name="Region"/>
    <tableColumn id="11" xr3:uid="{BA426448-AC7E-4EA2-A904-4DCB43B51487}" name="Salesperson"/>
    <tableColumn id="12" xr3:uid="{C4095B88-4ED7-40DE-A093-36B3D70B4387}" name="Check_Revenue" dataDxfId="13">
      <calculatedColumnFormula>tblRawBusinessData3[[#This Row],[Quantity]]*tblRawBusinessData3[[#This Row],[Unit_Price]]-tblRawBusinessData3[[#This Row],[Revenue]]</calculatedColumnFormula>
    </tableColumn>
    <tableColumn id="13" xr3:uid="{302BEC1F-6E40-48CF-A635-516F184113AA}" name="Check_Gross_Profit" dataDxfId="12">
      <calculatedColumnFormula>G2-H2-I2</calculatedColumnFormula>
    </tableColumn>
    <tableColumn id="14" xr3:uid="{ACDB1B3F-72CD-484E-AF76-67BB4306BAA7}" name="Check_Cost_Valid" dataDxfId="11">
      <calculatedColumnFormula>IF(H2&lt;G2,"Valid","Check")</calculatedColumnFormula>
    </tableColumn>
    <tableColumn id="15" xr3:uid="{685A5193-CD75-41B8-902E-C99B0D001B54}" name="Month" dataDxfId="10">
      <calculatedColumnFormula>TEXT(A2,"mmm")</calculatedColumnFormula>
    </tableColumn>
    <tableColumn id="16" xr3:uid="{BE36764F-C3A1-4FCE-8A32-B31C659ABF32}" name="Quarter" dataDxfId="9">
      <calculatedColumnFormula>"Q"&amp;ROUNDUP(MONTH(A2)/3,0)</calculatedColumnFormula>
    </tableColumn>
    <tableColumn id="17" xr3:uid="{84559C1C-4863-458D-8DDC-AA0BD5A6DB2D}" name="Year" dataDxfId="8">
      <calculatedColumnFormula>YEAR(A2)</calculatedColumnFormula>
    </tableColumn>
    <tableColumn id="18" xr3:uid="{606F384E-EB15-4AD6-888C-F09C41FD4D56}" name="Gross_Margin_Pct" dataDxfId="7">
      <calculatedColumnFormula>I2/G2</calculatedColumnFormula>
    </tableColumn>
    <tableColumn id="19" xr3:uid="{E8D15CC1-FB35-4533-9937-EC0AB09C8723}" name="Revenue_Band" dataDxfId="6">
      <calculatedColumnFormula>IF(G2&lt;10000,"Small",IF(G2&lt;30000,"Medium","Large"))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pane ySplit="1" topLeftCell="A13" activePane="bottomLeft" state="frozen"/>
      <selection pane="bottomLeft" activeCell="M30" sqref="M30"/>
    </sheetView>
  </sheetViews>
  <sheetFormatPr defaultRowHeight="15" x14ac:dyDescent="0.25"/>
  <cols>
    <col min="1" max="1" width="14" customWidth="1"/>
    <col min="2" max="2" width="24" customWidth="1"/>
    <col min="3" max="3" width="16" customWidth="1"/>
    <col min="4" max="4" width="24" customWidth="1"/>
    <col min="5" max="5" width="12" customWidth="1"/>
    <col min="6" max="8" width="14" customWidth="1"/>
    <col min="9" max="9" width="14.140625" customWidth="1"/>
    <col min="10" max="11" width="1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45659</v>
      </c>
      <c r="B2" t="s">
        <v>11</v>
      </c>
      <c r="C2" t="s">
        <v>12</v>
      </c>
      <c r="D2" t="s">
        <v>13</v>
      </c>
      <c r="E2" s="2">
        <v>3</v>
      </c>
      <c r="F2" s="3">
        <v>6310.17</v>
      </c>
      <c r="G2" s="3">
        <v>18930.509999999998</v>
      </c>
      <c r="H2" s="3">
        <v>11744.79</v>
      </c>
      <c r="I2" s="3">
        <v>7185.72</v>
      </c>
      <c r="J2" t="s">
        <v>14</v>
      </c>
      <c r="K2" t="s">
        <v>15</v>
      </c>
    </row>
    <row r="3" spans="1:11" x14ac:dyDescent="0.25">
      <c r="A3" s="1">
        <v>45660</v>
      </c>
      <c r="B3" t="s">
        <v>16</v>
      </c>
      <c r="C3" t="s">
        <v>12</v>
      </c>
      <c r="D3" t="s">
        <v>17</v>
      </c>
      <c r="E3" s="2">
        <v>3</v>
      </c>
      <c r="F3" s="3">
        <v>4014.39</v>
      </c>
      <c r="G3" s="3">
        <v>12043.17</v>
      </c>
      <c r="H3" s="3">
        <v>6272.88</v>
      </c>
      <c r="I3" s="3">
        <v>5770.29</v>
      </c>
      <c r="J3" t="s">
        <v>18</v>
      </c>
      <c r="K3" t="s">
        <v>19</v>
      </c>
    </row>
    <row r="4" spans="1:11" x14ac:dyDescent="0.25">
      <c r="A4" s="1">
        <v>45667</v>
      </c>
      <c r="B4" t="s">
        <v>20</v>
      </c>
      <c r="C4" t="s">
        <v>21</v>
      </c>
      <c r="D4" t="s">
        <v>22</v>
      </c>
      <c r="E4" s="2">
        <v>7</v>
      </c>
      <c r="F4" s="3">
        <v>9854.83</v>
      </c>
      <c r="G4" s="3">
        <v>68983.81</v>
      </c>
      <c r="H4" s="3">
        <v>53814.41</v>
      </c>
      <c r="I4" s="3">
        <v>15169.4</v>
      </c>
      <c r="J4" t="s">
        <v>14</v>
      </c>
      <c r="K4" t="s">
        <v>23</v>
      </c>
    </row>
    <row r="5" spans="1:11" x14ac:dyDescent="0.25">
      <c r="A5" s="1">
        <v>45669</v>
      </c>
      <c r="B5" t="s">
        <v>24</v>
      </c>
      <c r="C5" t="s">
        <v>25</v>
      </c>
      <c r="D5" t="s">
        <v>26</v>
      </c>
      <c r="E5" s="2">
        <v>1</v>
      </c>
      <c r="F5" s="3">
        <v>18595.73</v>
      </c>
      <c r="G5" s="3">
        <v>18595.73</v>
      </c>
      <c r="H5" s="3">
        <v>9420.57</v>
      </c>
      <c r="I5" s="3">
        <v>9175.16</v>
      </c>
      <c r="J5" t="s">
        <v>27</v>
      </c>
      <c r="K5" t="s">
        <v>19</v>
      </c>
    </row>
    <row r="6" spans="1:11" x14ac:dyDescent="0.25">
      <c r="A6" s="1">
        <v>45670</v>
      </c>
      <c r="B6" t="s">
        <v>11</v>
      </c>
      <c r="C6" t="s">
        <v>25</v>
      </c>
      <c r="D6" t="s">
        <v>28</v>
      </c>
      <c r="E6" s="2">
        <v>1</v>
      </c>
      <c r="F6" s="3">
        <v>28615.54</v>
      </c>
      <c r="G6" s="3">
        <v>28615.54</v>
      </c>
      <c r="H6" s="3">
        <v>14763.47</v>
      </c>
      <c r="I6" s="3">
        <v>13852.07</v>
      </c>
      <c r="J6" t="s">
        <v>29</v>
      </c>
      <c r="K6" t="s">
        <v>30</v>
      </c>
    </row>
    <row r="7" spans="1:11" x14ac:dyDescent="0.25">
      <c r="A7" s="1">
        <v>45674</v>
      </c>
      <c r="B7" t="s">
        <v>20</v>
      </c>
      <c r="C7" t="s">
        <v>25</v>
      </c>
      <c r="D7" t="s">
        <v>31</v>
      </c>
      <c r="E7" s="2">
        <v>3</v>
      </c>
      <c r="F7" s="3">
        <v>17830.04</v>
      </c>
      <c r="G7" s="3">
        <v>53490.12</v>
      </c>
      <c r="H7" s="3">
        <v>29403.45</v>
      </c>
      <c r="I7" s="3">
        <v>24086.67</v>
      </c>
      <c r="J7" t="s">
        <v>32</v>
      </c>
      <c r="K7" t="s">
        <v>15</v>
      </c>
    </row>
    <row r="8" spans="1:11" x14ac:dyDescent="0.25">
      <c r="A8" s="1">
        <v>45674</v>
      </c>
      <c r="B8" t="s">
        <v>33</v>
      </c>
      <c r="C8" t="s">
        <v>25</v>
      </c>
      <c r="D8" t="s">
        <v>28</v>
      </c>
      <c r="E8" s="2">
        <v>1</v>
      </c>
      <c r="F8" s="3">
        <v>40094.300000000003</v>
      </c>
      <c r="G8" s="3">
        <v>40094.300000000003</v>
      </c>
      <c r="H8" s="3">
        <v>18591.900000000001</v>
      </c>
      <c r="I8" s="3">
        <v>21502.400000000001</v>
      </c>
      <c r="J8" t="s">
        <v>14</v>
      </c>
      <c r="K8" t="s">
        <v>19</v>
      </c>
    </row>
    <row r="9" spans="1:11" x14ac:dyDescent="0.25">
      <c r="A9" s="1">
        <v>45675</v>
      </c>
      <c r="B9" t="s">
        <v>24</v>
      </c>
      <c r="C9" t="s">
        <v>34</v>
      </c>
      <c r="D9" t="s">
        <v>35</v>
      </c>
      <c r="E9" s="2">
        <v>6</v>
      </c>
      <c r="F9" s="3">
        <v>5104.84</v>
      </c>
      <c r="G9" s="3">
        <v>30629.040000000001</v>
      </c>
      <c r="H9" s="3">
        <v>22910.959999999999</v>
      </c>
      <c r="I9" s="3">
        <v>7718.08</v>
      </c>
      <c r="J9" t="s">
        <v>18</v>
      </c>
      <c r="K9" t="s">
        <v>30</v>
      </c>
    </row>
    <row r="10" spans="1:11" x14ac:dyDescent="0.25">
      <c r="A10" s="1">
        <v>45675</v>
      </c>
      <c r="B10" t="s">
        <v>36</v>
      </c>
      <c r="C10" t="s">
        <v>37</v>
      </c>
      <c r="D10" t="s">
        <v>38</v>
      </c>
      <c r="E10" s="2">
        <v>2</v>
      </c>
      <c r="F10" s="3">
        <v>6262.71</v>
      </c>
      <c r="G10" s="3">
        <v>12525.42</v>
      </c>
      <c r="H10" s="3">
        <v>4480.6000000000004</v>
      </c>
      <c r="I10" s="3">
        <v>8044.82</v>
      </c>
      <c r="J10" t="s">
        <v>32</v>
      </c>
      <c r="K10" t="s">
        <v>30</v>
      </c>
    </row>
    <row r="11" spans="1:11" x14ac:dyDescent="0.25">
      <c r="A11" s="1">
        <v>45680</v>
      </c>
      <c r="B11" t="s">
        <v>11</v>
      </c>
      <c r="C11" t="s">
        <v>12</v>
      </c>
      <c r="D11" t="s">
        <v>13</v>
      </c>
      <c r="E11" s="2">
        <v>3</v>
      </c>
      <c r="F11" s="3">
        <v>17118.78</v>
      </c>
      <c r="G11" s="3">
        <v>51356.34</v>
      </c>
      <c r="H11" s="3">
        <v>27055</v>
      </c>
      <c r="I11" s="3">
        <v>24301.34</v>
      </c>
      <c r="J11" t="s">
        <v>27</v>
      </c>
      <c r="K11" t="s">
        <v>15</v>
      </c>
    </row>
    <row r="12" spans="1:11" x14ac:dyDescent="0.25">
      <c r="A12" s="1">
        <v>45681</v>
      </c>
      <c r="B12" t="s">
        <v>39</v>
      </c>
      <c r="C12" t="s">
        <v>21</v>
      </c>
      <c r="D12" t="s">
        <v>40</v>
      </c>
      <c r="E12" s="2">
        <v>3</v>
      </c>
      <c r="F12" s="3">
        <v>58208.45</v>
      </c>
      <c r="G12" s="3">
        <v>174625.35</v>
      </c>
      <c r="H12" s="3">
        <v>123429.15</v>
      </c>
      <c r="I12" s="3">
        <v>51196.2</v>
      </c>
      <c r="J12" t="s">
        <v>32</v>
      </c>
      <c r="K12" t="s">
        <v>15</v>
      </c>
    </row>
    <row r="13" spans="1:11" x14ac:dyDescent="0.25">
      <c r="A13" s="1">
        <v>45681</v>
      </c>
      <c r="B13" t="s">
        <v>36</v>
      </c>
      <c r="C13" t="s">
        <v>37</v>
      </c>
      <c r="D13" t="s">
        <v>38</v>
      </c>
      <c r="E13" s="2">
        <v>3</v>
      </c>
      <c r="F13" s="3">
        <v>11746.99</v>
      </c>
      <c r="G13" s="3">
        <v>35240.97</v>
      </c>
      <c r="H13" s="3">
        <v>15942.75</v>
      </c>
      <c r="I13" s="3">
        <v>19298.22</v>
      </c>
      <c r="J13" t="s">
        <v>32</v>
      </c>
      <c r="K13" t="s">
        <v>15</v>
      </c>
    </row>
    <row r="14" spans="1:11" x14ac:dyDescent="0.25">
      <c r="A14" s="1">
        <v>45682</v>
      </c>
      <c r="B14" t="s">
        <v>41</v>
      </c>
      <c r="C14" t="s">
        <v>12</v>
      </c>
      <c r="D14" t="s">
        <v>17</v>
      </c>
      <c r="E14" s="2">
        <v>2</v>
      </c>
      <c r="F14" s="3">
        <v>5323</v>
      </c>
      <c r="G14" s="3">
        <v>10646</v>
      </c>
      <c r="H14" s="3">
        <v>6571.47</v>
      </c>
      <c r="I14" s="3">
        <v>4074.53</v>
      </c>
      <c r="J14" t="s">
        <v>27</v>
      </c>
      <c r="K14" t="s">
        <v>15</v>
      </c>
    </row>
    <row r="15" spans="1:11" x14ac:dyDescent="0.25">
      <c r="A15" s="1">
        <v>45684</v>
      </c>
      <c r="B15" t="s">
        <v>39</v>
      </c>
      <c r="C15" t="s">
        <v>21</v>
      </c>
      <c r="D15" t="s">
        <v>22</v>
      </c>
      <c r="E15" s="2">
        <v>5</v>
      </c>
      <c r="F15" s="3">
        <v>17856.439999999999</v>
      </c>
      <c r="G15" s="3">
        <v>89282.2</v>
      </c>
      <c r="H15" s="3">
        <v>71688.05</v>
      </c>
      <c r="I15" s="3">
        <v>17594.150000000001</v>
      </c>
      <c r="J15" t="s">
        <v>14</v>
      </c>
      <c r="K15" t="s">
        <v>19</v>
      </c>
    </row>
    <row r="16" spans="1:11" x14ac:dyDescent="0.25">
      <c r="A16" s="1">
        <v>45686</v>
      </c>
      <c r="B16" t="s">
        <v>42</v>
      </c>
      <c r="C16" t="s">
        <v>12</v>
      </c>
      <c r="D16" t="s">
        <v>13</v>
      </c>
      <c r="E16" s="2">
        <v>1</v>
      </c>
      <c r="F16" s="3">
        <v>6742.56</v>
      </c>
      <c r="G16" s="3">
        <v>6742.56</v>
      </c>
      <c r="H16" s="3">
        <v>3455.28</v>
      </c>
      <c r="I16" s="3">
        <v>3287.28</v>
      </c>
      <c r="J16" t="s">
        <v>18</v>
      </c>
      <c r="K16" t="s">
        <v>23</v>
      </c>
    </row>
    <row r="17" spans="1:11" x14ac:dyDescent="0.25">
      <c r="A17" s="1">
        <v>45687</v>
      </c>
      <c r="B17" t="s">
        <v>20</v>
      </c>
      <c r="C17" t="s">
        <v>37</v>
      </c>
      <c r="D17" t="s">
        <v>38</v>
      </c>
      <c r="E17" s="2">
        <v>1</v>
      </c>
      <c r="F17" s="3">
        <v>10758.99</v>
      </c>
      <c r="G17" s="3">
        <v>10758.99</v>
      </c>
      <c r="H17" s="3">
        <v>4466.6099999999997</v>
      </c>
      <c r="I17" s="3">
        <v>6292.38</v>
      </c>
      <c r="J17" t="s">
        <v>29</v>
      </c>
      <c r="K17" t="s">
        <v>23</v>
      </c>
    </row>
    <row r="18" spans="1:11" x14ac:dyDescent="0.25">
      <c r="A18" s="1">
        <v>45687</v>
      </c>
      <c r="B18" t="s">
        <v>43</v>
      </c>
      <c r="C18" t="s">
        <v>21</v>
      </c>
      <c r="D18" t="s">
        <v>40</v>
      </c>
      <c r="E18" s="2">
        <v>4</v>
      </c>
      <c r="F18" s="3">
        <v>50715.38</v>
      </c>
      <c r="G18" s="3">
        <v>202861.52</v>
      </c>
      <c r="H18" s="3">
        <v>141887.63</v>
      </c>
      <c r="I18" s="3">
        <v>60973.89</v>
      </c>
      <c r="J18" t="s">
        <v>18</v>
      </c>
      <c r="K18" t="s">
        <v>30</v>
      </c>
    </row>
    <row r="19" spans="1:11" x14ac:dyDescent="0.25">
      <c r="A19" s="1">
        <v>45688</v>
      </c>
      <c r="B19" t="s">
        <v>36</v>
      </c>
      <c r="C19" t="s">
        <v>37</v>
      </c>
      <c r="D19" t="s">
        <v>38</v>
      </c>
      <c r="E19" s="2">
        <v>1</v>
      </c>
      <c r="F19" s="3">
        <v>6117.27</v>
      </c>
      <c r="G19" s="3">
        <v>6117.27</v>
      </c>
      <c r="H19" s="3">
        <v>2376.41</v>
      </c>
      <c r="I19" s="3">
        <v>3740.86</v>
      </c>
      <c r="J19" t="s">
        <v>14</v>
      </c>
      <c r="K19" t="s">
        <v>30</v>
      </c>
    </row>
    <row r="20" spans="1:11" x14ac:dyDescent="0.25">
      <c r="A20" s="1">
        <v>45688</v>
      </c>
      <c r="B20" t="s">
        <v>33</v>
      </c>
      <c r="C20" t="s">
        <v>25</v>
      </c>
      <c r="D20" t="s">
        <v>26</v>
      </c>
      <c r="E20" s="2">
        <v>1</v>
      </c>
      <c r="F20" s="3">
        <v>28951.8</v>
      </c>
      <c r="G20" s="3">
        <v>28951.8</v>
      </c>
      <c r="H20" s="3">
        <v>15405.51</v>
      </c>
      <c r="I20" s="3">
        <v>13546.29</v>
      </c>
      <c r="J20" t="s">
        <v>29</v>
      </c>
      <c r="K20" t="s">
        <v>15</v>
      </c>
    </row>
    <row r="21" spans="1:11" x14ac:dyDescent="0.25">
      <c r="A21" s="1">
        <v>45688</v>
      </c>
      <c r="B21" t="s">
        <v>36</v>
      </c>
      <c r="C21" t="s">
        <v>12</v>
      </c>
      <c r="D21" t="s">
        <v>17</v>
      </c>
      <c r="E21" s="2">
        <v>2</v>
      </c>
      <c r="F21" s="3">
        <v>3013.68</v>
      </c>
      <c r="G21" s="3">
        <v>6027.36</v>
      </c>
      <c r="H21" s="3">
        <v>3794.91</v>
      </c>
      <c r="I21" s="3">
        <v>2232.4499999999998</v>
      </c>
      <c r="J21" t="s">
        <v>32</v>
      </c>
      <c r="K21" t="s">
        <v>23</v>
      </c>
    </row>
    <row r="22" spans="1:11" x14ac:dyDescent="0.25">
      <c r="A22" s="1">
        <v>45694</v>
      </c>
      <c r="B22" t="s">
        <v>44</v>
      </c>
      <c r="C22" t="s">
        <v>25</v>
      </c>
      <c r="D22" t="s">
        <v>31</v>
      </c>
      <c r="E22" s="2">
        <v>3</v>
      </c>
      <c r="F22" s="3">
        <v>14537.07</v>
      </c>
      <c r="G22" s="3">
        <v>43611.21</v>
      </c>
      <c r="H22" s="3">
        <v>24102.63</v>
      </c>
      <c r="I22" s="3">
        <v>19508.580000000002</v>
      </c>
      <c r="J22" t="s">
        <v>18</v>
      </c>
      <c r="K22" t="s">
        <v>15</v>
      </c>
    </row>
    <row r="23" spans="1:11" x14ac:dyDescent="0.25">
      <c r="A23" s="1">
        <v>45697</v>
      </c>
      <c r="B23" t="s">
        <v>36</v>
      </c>
      <c r="C23" t="s">
        <v>37</v>
      </c>
      <c r="D23" t="s">
        <v>45</v>
      </c>
      <c r="E23" s="2">
        <v>1</v>
      </c>
      <c r="F23" s="3">
        <v>13542.31</v>
      </c>
      <c r="G23" s="3">
        <v>13542.31</v>
      </c>
      <c r="H23" s="3">
        <v>4063.2</v>
      </c>
      <c r="I23" s="3">
        <v>9479.11</v>
      </c>
      <c r="J23" t="s">
        <v>29</v>
      </c>
      <c r="K23" t="s">
        <v>46</v>
      </c>
    </row>
    <row r="24" spans="1:11" x14ac:dyDescent="0.25">
      <c r="A24" s="1">
        <v>45698</v>
      </c>
      <c r="B24" t="s">
        <v>42</v>
      </c>
      <c r="C24" t="s">
        <v>25</v>
      </c>
      <c r="D24" t="s">
        <v>31</v>
      </c>
      <c r="E24" s="2">
        <v>3</v>
      </c>
      <c r="F24" s="3">
        <v>19272.240000000002</v>
      </c>
      <c r="G24" s="3">
        <v>57816.72</v>
      </c>
      <c r="H24" s="3">
        <v>26547.41</v>
      </c>
      <c r="I24" s="3">
        <v>31269.31</v>
      </c>
      <c r="J24" t="s">
        <v>14</v>
      </c>
      <c r="K24" t="s">
        <v>46</v>
      </c>
    </row>
    <row r="25" spans="1:11" x14ac:dyDescent="0.25">
      <c r="A25" s="1">
        <v>45698</v>
      </c>
      <c r="B25" t="s">
        <v>44</v>
      </c>
      <c r="C25" t="s">
        <v>37</v>
      </c>
      <c r="D25" t="s">
        <v>38</v>
      </c>
      <c r="E25" s="2">
        <v>2</v>
      </c>
      <c r="F25" s="3">
        <v>5445.44</v>
      </c>
      <c r="G25" s="3">
        <v>10890.88</v>
      </c>
      <c r="H25" s="3">
        <v>3963.65</v>
      </c>
      <c r="I25" s="3">
        <v>6927.23</v>
      </c>
      <c r="J25" t="s">
        <v>29</v>
      </c>
      <c r="K25" t="s">
        <v>15</v>
      </c>
    </row>
    <row r="26" spans="1:11" x14ac:dyDescent="0.25">
      <c r="A26" s="1">
        <v>45700</v>
      </c>
      <c r="B26" t="s">
        <v>44</v>
      </c>
      <c r="C26" t="s">
        <v>37</v>
      </c>
      <c r="D26" t="s">
        <v>38</v>
      </c>
      <c r="E26" s="2">
        <v>4</v>
      </c>
      <c r="F26" s="3">
        <v>9365.7800000000007</v>
      </c>
      <c r="G26" s="3">
        <v>37463.120000000003</v>
      </c>
      <c r="H26" s="3">
        <v>14501.88</v>
      </c>
      <c r="I26" s="3">
        <v>22961.24</v>
      </c>
      <c r="J26" t="s">
        <v>18</v>
      </c>
      <c r="K26" t="s">
        <v>19</v>
      </c>
    </row>
    <row r="27" spans="1:11" x14ac:dyDescent="0.25">
      <c r="A27" s="1">
        <v>45700</v>
      </c>
      <c r="B27" t="s">
        <v>20</v>
      </c>
      <c r="C27" t="s">
        <v>37</v>
      </c>
      <c r="D27" t="s">
        <v>47</v>
      </c>
      <c r="E27" s="2">
        <v>1</v>
      </c>
      <c r="F27" s="3">
        <v>14389.39</v>
      </c>
      <c r="G27" s="3">
        <v>14389.39</v>
      </c>
      <c r="H27" s="3">
        <v>4962.29</v>
      </c>
      <c r="I27" s="3">
        <v>9427.1</v>
      </c>
      <c r="J27" t="s">
        <v>18</v>
      </c>
      <c r="K27" t="s">
        <v>15</v>
      </c>
    </row>
    <row r="28" spans="1:11" x14ac:dyDescent="0.25">
      <c r="A28" s="1">
        <v>45700</v>
      </c>
      <c r="B28" t="s">
        <v>43</v>
      </c>
      <c r="C28" t="s">
        <v>12</v>
      </c>
      <c r="D28" t="s">
        <v>48</v>
      </c>
      <c r="E28" s="2">
        <v>3</v>
      </c>
      <c r="F28" s="3">
        <v>24041.279999999999</v>
      </c>
      <c r="G28" s="3">
        <v>72123.839999999997</v>
      </c>
      <c r="H28" s="3">
        <v>40204.78</v>
      </c>
      <c r="I28" s="3">
        <v>31919.06</v>
      </c>
      <c r="J28" t="s">
        <v>32</v>
      </c>
      <c r="K28" t="s">
        <v>46</v>
      </c>
    </row>
    <row r="29" spans="1:11" x14ac:dyDescent="0.25">
      <c r="A29" s="1">
        <v>45700</v>
      </c>
      <c r="B29" t="s">
        <v>24</v>
      </c>
      <c r="C29" t="s">
        <v>34</v>
      </c>
      <c r="D29" t="s">
        <v>49</v>
      </c>
      <c r="E29" s="2">
        <v>11</v>
      </c>
      <c r="F29" s="3">
        <v>2682.26</v>
      </c>
      <c r="G29" s="3">
        <v>29504.86</v>
      </c>
      <c r="H29" s="3">
        <v>23240.09</v>
      </c>
      <c r="I29" s="3">
        <v>6264.77</v>
      </c>
      <c r="J29" t="s">
        <v>27</v>
      </c>
      <c r="K29" t="s">
        <v>15</v>
      </c>
    </row>
    <row r="30" spans="1:11" x14ac:dyDescent="0.25">
      <c r="A30" s="1">
        <v>45702</v>
      </c>
      <c r="B30" t="s">
        <v>50</v>
      </c>
      <c r="C30" t="s">
        <v>21</v>
      </c>
      <c r="D30" t="s">
        <v>22</v>
      </c>
      <c r="E30" s="2">
        <v>6</v>
      </c>
      <c r="F30" s="3">
        <v>13955.2</v>
      </c>
      <c r="G30" s="3">
        <v>83731.199999999997</v>
      </c>
      <c r="H30" s="3">
        <v>63280.93</v>
      </c>
      <c r="I30" s="3">
        <v>20450.27</v>
      </c>
      <c r="J30" t="s">
        <v>14</v>
      </c>
      <c r="K30" t="s">
        <v>19</v>
      </c>
    </row>
    <row r="31" spans="1:11" x14ac:dyDescent="0.25">
      <c r="A31" s="1">
        <v>45702</v>
      </c>
      <c r="B31" t="s">
        <v>51</v>
      </c>
      <c r="C31" t="s">
        <v>34</v>
      </c>
      <c r="D31" t="s">
        <v>52</v>
      </c>
      <c r="E31" s="2">
        <v>9</v>
      </c>
      <c r="F31" s="3">
        <v>2309.1</v>
      </c>
      <c r="G31" s="3">
        <v>20781.900000000001</v>
      </c>
      <c r="H31" s="3">
        <v>17199.990000000002</v>
      </c>
      <c r="I31" s="3">
        <v>3581.91</v>
      </c>
      <c r="J31" t="s">
        <v>32</v>
      </c>
      <c r="K31" t="s">
        <v>15</v>
      </c>
    </row>
    <row r="32" spans="1:11" x14ac:dyDescent="0.25">
      <c r="A32" s="1">
        <v>45705</v>
      </c>
      <c r="B32" t="s">
        <v>44</v>
      </c>
      <c r="C32" t="s">
        <v>25</v>
      </c>
      <c r="D32" t="s">
        <v>26</v>
      </c>
      <c r="E32" s="2">
        <v>2</v>
      </c>
      <c r="F32" s="3">
        <v>11867.74</v>
      </c>
      <c r="G32" s="3">
        <v>23735.48</v>
      </c>
      <c r="H32" s="3">
        <v>16191</v>
      </c>
      <c r="I32" s="3">
        <v>7544.48</v>
      </c>
      <c r="J32" t="s">
        <v>32</v>
      </c>
      <c r="K32" t="s">
        <v>19</v>
      </c>
    </row>
    <row r="33" spans="1:11" x14ac:dyDescent="0.25">
      <c r="A33" s="1">
        <v>45705</v>
      </c>
      <c r="B33" t="s">
        <v>20</v>
      </c>
      <c r="C33" t="s">
        <v>25</v>
      </c>
      <c r="D33" t="s">
        <v>31</v>
      </c>
      <c r="E33" s="2">
        <v>4</v>
      </c>
      <c r="F33" s="3">
        <v>16752.63</v>
      </c>
      <c r="G33" s="3">
        <v>67010.52</v>
      </c>
      <c r="H33" s="3">
        <v>40776.160000000003</v>
      </c>
      <c r="I33" s="3">
        <v>26234.36</v>
      </c>
      <c r="J33" t="s">
        <v>14</v>
      </c>
      <c r="K33" t="s">
        <v>15</v>
      </c>
    </row>
    <row r="34" spans="1:11" x14ac:dyDescent="0.25">
      <c r="A34" s="1">
        <v>45709</v>
      </c>
      <c r="B34" t="s">
        <v>16</v>
      </c>
      <c r="C34" t="s">
        <v>12</v>
      </c>
      <c r="D34" t="s">
        <v>17</v>
      </c>
      <c r="E34" s="2">
        <v>2</v>
      </c>
      <c r="F34" s="3">
        <v>2734.85</v>
      </c>
      <c r="G34" s="3">
        <v>5469.7</v>
      </c>
      <c r="H34" s="3">
        <v>3431.54</v>
      </c>
      <c r="I34" s="3">
        <v>2038.16</v>
      </c>
      <c r="J34" t="s">
        <v>27</v>
      </c>
      <c r="K34" t="s">
        <v>30</v>
      </c>
    </row>
    <row r="35" spans="1:11" x14ac:dyDescent="0.25">
      <c r="A35" s="1">
        <v>45709</v>
      </c>
      <c r="B35" t="s">
        <v>16</v>
      </c>
      <c r="C35" t="s">
        <v>34</v>
      </c>
      <c r="D35" t="s">
        <v>52</v>
      </c>
      <c r="E35" s="2">
        <v>12</v>
      </c>
      <c r="F35" s="3">
        <v>1039.3800000000001</v>
      </c>
      <c r="G35" s="3">
        <v>12472.56</v>
      </c>
      <c r="H35" s="3">
        <v>9277.98</v>
      </c>
      <c r="I35" s="3">
        <v>3194.58</v>
      </c>
      <c r="J35" t="s">
        <v>29</v>
      </c>
      <c r="K35" t="s">
        <v>46</v>
      </c>
    </row>
    <row r="36" spans="1:11" x14ac:dyDescent="0.25">
      <c r="A36" s="1">
        <v>45710</v>
      </c>
      <c r="B36" t="s">
        <v>53</v>
      </c>
      <c r="C36" t="s">
        <v>34</v>
      </c>
      <c r="D36" t="s">
        <v>52</v>
      </c>
      <c r="E36" s="2">
        <v>15</v>
      </c>
      <c r="F36" s="3">
        <v>2302.1799999999998</v>
      </c>
      <c r="G36" s="3">
        <v>34532.699999999997</v>
      </c>
      <c r="H36" s="3">
        <v>28474.47</v>
      </c>
      <c r="I36" s="3">
        <v>6058.23</v>
      </c>
      <c r="J36" t="s">
        <v>32</v>
      </c>
      <c r="K36" t="s">
        <v>15</v>
      </c>
    </row>
    <row r="37" spans="1:11" x14ac:dyDescent="0.25">
      <c r="A37" s="1">
        <v>45711</v>
      </c>
      <c r="B37" t="s">
        <v>20</v>
      </c>
      <c r="C37" t="s">
        <v>25</v>
      </c>
      <c r="D37" t="s">
        <v>31</v>
      </c>
      <c r="E37" s="2">
        <v>3</v>
      </c>
      <c r="F37" s="3">
        <v>19294.939999999999</v>
      </c>
      <c r="G37" s="3">
        <v>57884.82</v>
      </c>
      <c r="H37" s="3">
        <v>36961.5</v>
      </c>
      <c r="I37" s="3">
        <v>20923.32</v>
      </c>
      <c r="J37" t="s">
        <v>32</v>
      </c>
      <c r="K37" t="s">
        <v>30</v>
      </c>
    </row>
    <row r="38" spans="1:11" x14ac:dyDescent="0.25">
      <c r="A38" s="1">
        <v>45712</v>
      </c>
      <c r="B38" t="s">
        <v>11</v>
      </c>
      <c r="C38" t="s">
        <v>25</v>
      </c>
      <c r="D38" t="s">
        <v>28</v>
      </c>
      <c r="E38" s="2">
        <v>3</v>
      </c>
      <c r="F38" s="3">
        <v>20644.71</v>
      </c>
      <c r="G38" s="3">
        <v>61934.13</v>
      </c>
      <c r="H38" s="3">
        <v>39082.720000000001</v>
      </c>
      <c r="I38" s="3">
        <v>22851.41</v>
      </c>
      <c r="J38" t="s">
        <v>14</v>
      </c>
      <c r="K38" t="s">
        <v>46</v>
      </c>
    </row>
    <row r="39" spans="1:11" x14ac:dyDescent="0.25">
      <c r="A39" s="1">
        <v>45712</v>
      </c>
      <c r="B39" t="s">
        <v>43</v>
      </c>
      <c r="C39" t="s">
        <v>21</v>
      </c>
      <c r="D39" t="s">
        <v>54</v>
      </c>
      <c r="E39" s="2">
        <v>5</v>
      </c>
      <c r="F39" s="3">
        <v>8081.31</v>
      </c>
      <c r="G39" s="3">
        <v>40406.550000000003</v>
      </c>
      <c r="H39" s="3">
        <v>31702.25</v>
      </c>
      <c r="I39" s="3">
        <v>8704.2999999999993</v>
      </c>
      <c r="J39" t="s">
        <v>32</v>
      </c>
      <c r="K39" t="s">
        <v>30</v>
      </c>
    </row>
    <row r="40" spans="1:11" x14ac:dyDescent="0.25">
      <c r="A40" s="1">
        <v>45716</v>
      </c>
      <c r="B40" t="s">
        <v>24</v>
      </c>
      <c r="C40" t="s">
        <v>34</v>
      </c>
      <c r="D40" t="s">
        <v>49</v>
      </c>
      <c r="E40" s="2">
        <v>5</v>
      </c>
      <c r="F40" s="3">
        <v>2291.61</v>
      </c>
      <c r="G40" s="3">
        <v>11458.05</v>
      </c>
      <c r="H40" s="3">
        <v>8656</v>
      </c>
      <c r="I40" s="3">
        <v>2802.05</v>
      </c>
      <c r="J40" t="s">
        <v>18</v>
      </c>
      <c r="K40" t="s">
        <v>15</v>
      </c>
    </row>
    <row r="41" spans="1:11" x14ac:dyDescent="0.25">
      <c r="A41" s="1">
        <v>45717</v>
      </c>
      <c r="B41" t="s">
        <v>24</v>
      </c>
      <c r="C41" t="s">
        <v>21</v>
      </c>
      <c r="D41" t="s">
        <v>54</v>
      </c>
      <c r="E41" s="2">
        <v>6</v>
      </c>
      <c r="F41" s="3">
        <v>8040.15</v>
      </c>
      <c r="G41" s="3">
        <v>48240.9</v>
      </c>
      <c r="H41" s="3">
        <v>34656.44</v>
      </c>
      <c r="I41" s="3">
        <v>13584.46</v>
      </c>
      <c r="J41" t="s">
        <v>27</v>
      </c>
      <c r="K41" t="s">
        <v>30</v>
      </c>
    </row>
    <row r="42" spans="1:11" x14ac:dyDescent="0.25">
      <c r="A42" s="1">
        <v>45718</v>
      </c>
      <c r="B42" t="s">
        <v>36</v>
      </c>
      <c r="C42" t="s">
        <v>25</v>
      </c>
      <c r="D42" t="s">
        <v>28</v>
      </c>
      <c r="E42" s="2">
        <v>1</v>
      </c>
      <c r="F42" s="3">
        <v>36476.699999999997</v>
      </c>
      <c r="G42" s="3">
        <v>36476.699999999997</v>
      </c>
      <c r="H42" s="3">
        <v>20252.490000000002</v>
      </c>
      <c r="I42" s="3">
        <v>16224.21</v>
      </c>
      <c r="J42" t="s">
        <v>18</v>
      </c>
      <c r="K42" t="s">
        <v>30</v>
      </c>
    </row>
    <row r="43" spans="1:11" x14ac:dyDescent="0.25">
      <c r="A43" s="1">
        <v>45721</v>
      </c>
      <c r="B43" t="s">
        <v>41</v>
      </c>
      <c r="C43" t="s">
        <v>12</v>
      </c>
      <c r="D43" t="s">
        <v>48</v>
      </c>
      <c r="E43" s="2">
        <v>3</v>
      </c>
      <c r="F43" s="3">
        <v>34458.33</v>
      </c>
      <c r="G43" s="3">
        <v>103374.99</v>
      </c>
      <c r="H43" s="3">
        <v>63705.72</v>
      </c>
      <c r="I43" s="3">
        <v>39669.269999999997</v>
      </c>
      <c r="J43" t="s">
        <v>32</v>
      </c>
      <c r="K43" t="s">
        <v>19</v>
      </c>
    </row>
    <row r="44" spans="1:11" x14ac:dyDescent="0.25">
      <c r="A44" s="1">
        <v>45723</v>
      </c>
      <c r="B44" t="s">
        <v>20</v>
      </c>
      <c r="C44" t="s">
        <v>25</v>
      </c>
      <c r="D44" t="s">
        <v>28</v>
      </c>
      <c r="E44" s="2">
        <v>1</v>
      </c>
      <c r="F44" s="3">
        <v>31112.95</v>
      </c>
      <c r="G44" s="3">
        <v>31112.95</v>
      </c>
      <c r="H44" s="3">
        <v>17374.689999999999</v>
      </c>
      <c r="I44" s="3">
        <v>13738.26</v>
      </c>
      <c r="J44" t="s">
        <v>18</v>
      </c>
      <c r="K44" t="s">
        <v>15</v>
      </c>
    </row>
    <row r="45" spans="1:11" x14ac:dyDescent="0.25">
      <c r="A45" s="1">
        <v>45725</v>
      </c>
      <c r="B45" t="s">
        <v>11</v>
      </c>
      <c r="C45" t="s">
        <v>12</v>
      </c>
      <c r="D45" t="s">
        <v>17</v>
      </c>
      <c r="E45" s="2">
        <v>2</v>
      </c>
      <c r="F45" s="3">
        <v>7307.16</v>
      </c>
      <c r="G45" s="3">
        <v>14614.32</v>
      </c>
      <c r="H45" s="3">
        <v>9007.41</v>
      </c>
      <c r="I45" s="3">
        <v>5606.91</v>
      </c>
      <c r="J45" t="s">
        <v>32</v>
      </c>
      <c r="K45" t="s">
        <v>30</v>
      </c>
    </row>
    <row r="46" spans="1:11" x14ac:dyDescent="0.25">
      <c r="A46" s="1">
        <v>45727</v>
      </c>
      <c r="B46" t="s">
        <v>39</v>
      </c>
      <c r="C46" t="s">
        <v>25</v>
      </c>
      <c r="D46" t="s">
        <v>26</v>
      </c>
      <c r="E46" s="2">
        <v>1</v>
      </c>
      <c r="F46" s="3">
        <v>27500.93</v>
      </c>
      <c r="G46" s="3">
        <v>27500.93</v>
      </c>
      <c r="H46" s="3">
        <v>16325.59</v>
      </c>
      <c r="I46" s="3">
        <v>11175.34</v>
      </c>
      <c r="J46" t="s">
        <v>27</v>
      </c>
      <c r="K46" t="s">
        <v>15</v>
      </c>
    </row>
    <row r="47" spans="1:11" x14ac:dyDescent="0.25">
      <c r="A47" s="1">
        <v>45727</v>
      </c>
      <c r="B47" t="s">
        <v>20</v>
      </c>
      <c r="C47" t="s">
        <v>37</v>
      </c>
      <c r="D47" t="s">
        <v>45</v>
      </c>
      <c r="E47" s="2">
        <v>1</v>
      </c>
      <c r="F47" s="3">
        <v>20372.240000000002</v>
      </c>
      <c r="G47" s="3">
        <v>20372.240000000002</v>
      </c>
      <c r="H47" s="3">
        <v>9212.59</v>
      </c>
      <c r="I47" s="3">
        <v>11159.65</v>
      </c>
      <c r="J47" t="s">
        <v>29</v>
      </c>
      <c r="K47" t="s">
        <v>46</v>
      </c>
    </row>
    <row r="48" spans="1:11" x14ac:dyDescent="0.25">
      <c r="A48" s="1">
        <v>45728</v>
      </c>
      <c r="B48" t="s">
        <v>33</v>
      </c>
      <c r="C48" t="s">
        <v>37</v>
      </c>
      <c r="D48" t="s">
        <v>45</v>
      </c>
      <c r="E48" s="2">
        <v>1</v>
      </c>
      <c r="F48" s="3">
        <v>16472.55</v>
      </c>
      <c r="G48" s="3">
        <v>16472.55</v>
      </c>
      <c r="H48" s="3">
        <v>6663.33</v>
      </c>
      <c r="I48" s="3">
        <v>9809.2199999999993</v>
      </c>
      <c r="J48" t="s">
        <v>14</v>
      </c>
      <c r="K48" t="s">
        <v>46</v>
      </c>
    </row>
    <row r="49" spans="1:11" x14ac:dyDescent="0.25">
      <c r="A49" s="1">
        <v>45730</v>
      </c>
      <c r="B49" t="s">
        <v>44</v>
      </c>
      <c r="C49" t="s">
        <v>25</v>
      </c>
      <c r="D49" t="s">
        <v>31</v>
      </c>
      <c r="E49" s="2">
        <v>4</v>
      </c>
      <c r="F49" s="3">
        <v>6551.47</v>
      </c>
      <c r="G49" s="3">
        <v>26205.88</v>
      </c>
      <c r="H49" s="3">
        <v>13554.36</v>
      </c>
      <c r="I49" s="3">
        <v>12651.52</v>
      </c>
      <c r="J49" t="s">
        <v>29</v>
      </c>
      <c r="K49" t="s">
        <v>46</v>
      </c>
    </row>
    <row r="50" spans="1:11" x14ac:dyDescent="0.25">
      <c r="A50" s="1">
        <v>45732</v>
      </c>
      <c r="B50" t="s">
        <v>44</v>
      </c>
      <c r="C50" t="s">
        <v>25</v>
      </c>
      <c r="D50" t="s">
        <v>28</v>
      </c>
      <c r="E50" s="2">
        <v>2</v>
      </c>
      <c r="F50" s="3">
        <v>35911.31</v>
      </c>
      <c r="G50" s="3">
        <v>71822.62</v>
      </c>
      <c r="H50" s="3">
        <v>46348.67</v>
      </c>
      <c r="I50" s="3">
        <v>25473.95</v>
      </c>
      <c r="J50" t="s">
        <v>32</v>
      </c>
      <c r="K50" t="s">
        <v>46</v>
      </c>
    </row>
    <row r="51" spans="1:11" x14ac:dyDescent="0.25">
      <c r="A51" s="1">
        <v>45735</v>
      </c>
      <c r="B51" t="s">
        <v>41</v>
      </c>
      <c r="C51" t="s">
        <v>12</v>
      </c>
      <c r="D51" t="s">
        <v>17</v>
      </c>
      <c r="E51" s="2">
        <v>4</v>
      </c>
      <c r="F51" s="3">
        <v>6208.65</v>
      </c>
      <c r="G51" s="3">
        <v>24834.6</v>
      </c>
      <c r="H51" s="3">
        <v>12552.68</v>
      </c>
      <c r="I51" s="3">
        <v>12281.92</v>
      </c>
      <c r="J51" t="s">
        <v>27</v>
      </c>
      <c r="K51" t="s">
        <v>30</v>
      </c>
    </row>
    <row r="52" spans="1:11" x14ac:dyDescent="0.25">
      <c r="A52" s="1">
        <v>45736</v>
      </c>
      <c r="B52" t="s">
        <v>33</v>
      </c>
      <c r="C52" t="s">
        <v>34</v>
      </c>
      <c r="D52" t="s">
        <v>35</v>
      </c>
      <c r="E52" s="2">
        <v>1</v>
      </c>
      <c r="F52" s="3">
        <v>1236.9000000000001</v>
      </c>
      <c r="G52" s="3">
        <v>1236.9000000000001</v>
      </c>
      <c r="H52" s="3">
        <v>950.22</v>
      </c>
      <c r="I52" s="3">
        <v>286.68</v>
      </c>
      <c r="J52" t="s">
        <v>14</v>
      </c>
      <c r="K52" t="s">
        <v>15</v>
      </c>
    </row>
    <row r="53" spans="1:11" x14ac:dyDescent="0.25">
      <c r="A53" s="1">
        <v>45737</v>
      </c>
      <c r="B53" t="s">
        <v>11</v>
      </c>
      <c r="C53" t="s">
        <v>12</v>
      </c>
      <c r="D53" t="s">
        <v>17</v>
      </c>
      <c r="E53" s="2">
        <v>5</v>
      </c>
      <c r="F53" s="3">
        <v>5505.69</v>
      </c>
      <c r="G53" s="3">
        <v>27528.45</v>
      </c>
      <c r="H53" s="3">
        <v>15142.69</v>
      </c>
      <c r="I53" s="3">
        <v>12385.76</v>
      </c>
      <c r="J53" t="s">
        <v>27</v>
      </c>
      <c r="K53" t="s">
        <v>23</v>
      </c>
    </row>
    <row r="54" spans="1:11" x14ac:dyDescent="0.25">
      <c r="A54" s="1">
        <v>45740</v>
      </c>
      <c r="B54" t="s">
        <v>55</v>
      </c>
      <c r="C54" t="s">
        <v>34</v>
      </c>
      <c r="D54" t="s">
        <v>35</v>
      </c>
      <c r="E54" s="2">
        <v>2</v>
      </c>
      <c r="F54" s="3">
        <v>4489.16</v>
      </c>
      <c r="G54" s="3">
        <v>8978.32</v>
      </c>
      <c r="H54" s="3">
        <v>6589.28</v>
      </c>
      <c r="I54" s="3">
        <v>2389.04</v>
      </c>
      <c r="J54" t="s">
        <v>32</v>
      </c>
      <c r="K54" t="s">
        <v>15</v>
      </c>
    </row>
    <row r="55" spans="1:11" x14ac:dyDescent="0.25">
      <c r="A55" s="1">
        <v>45741</v>
      </c>
      <c r="B55" t="s">
        <v>11</v>
      </c>
      <c r="C55" t="s">
        <v>25</v>
      </c>
      <c r="D55" t="s">
        <v>28</v>
      </c>
      <c r="E55" s="2">
        <v>2</v>
      </c>
      <c r="F55" s="3">
        <v>16710.22</v>
      </c>
      <c r="G55" s="3">
        <v>33420.44</v>
      </c>
      <c r="H55" s="3">
        <v>17438.650000000001</v>
      </c>
      <c r="I55" s="3">
        <v>15981.79</v>
      </c>
      <c r="J55" t="s">
        <v>32</v>
      </c>
      <c r="K55" t="s">
        <v>46</v>
      </c>
    </row>
    <row r="56" spans="1:11" x14ac:dyDescent="0.25">
      <c r="A56" s="1">
        <v>45741</v>
      </c>
      <c r="B56" t="s">
        <v>33</v>
      </c>
      <c r="C56" t="s">
        <v>25</v>
      </c>
      <c r="D56" t="s">
        <v>28</v>
      </c>
      <c r="E56" s="2">
        <v>3</v>
      </c>
      <c r="F56" s="3">
        <v>28305.86</v>
      </c>
      <c r="G56" s="3">
        <v>84917.58</v>
      </c>
      <c r="H56" s="3">
        <v>51026.05</v>
      </c>
      <c r="I56" s="3">
        <v>33891.53</v>
      </c>
      <c r="J56" t="s">
        <v>18</v>
      </c>
      <c r="K56" t="s">
        <v>30</v>
      </c>
    </row>
    <row r="57" spans="1:11" x14ac:dyDescent="0.25">
      <c r="A57" s="1">
        <v>45743</v>
      </c>
      <c r="B57" t="s">
        <v>36</v>
      </c>
      <c r="C57" t="s">
        <v>25</v>
      </c>
      <c r="D57" t="s">
        <v>28</v>
      </c>
      <c r="E57" s="2">
        <v>1</v>
      </c>
      <c r="F57" s="3">
        <v>27227.78</v>
      </c>
      <c r="G57" s="3">
        <v>27227.78</v>
      </c>
      <c r="H57" s="3">
        <v>12892.17</v>
      </c>
      <c r="I57" s="3">
        <v>14335.61</v>
      </c>
      <c r="J57" t="s">
        <v>18</v>
      </c>
      <c r="K57" t="s">
        <v>30</v>
      </c>
    </row>
    <row r="58" spans="1:11" x14ac:dyDescent="0.25">
      <c r="A58" s="1">
        <v>45746</v>
      </c>
      <c r="B58" t="s">
        <v>20</v>
      </c>
      <c r="C58" t="s">
        <v>25</v>
      </c>
      <c r="D58" t="s">
        <v>28</v>
      </c>
      <c r="E58" s="2">
        <v>2</v>
      </c>
      <c r="F58" s="3">
        <v>37818.75</v>
      </c>
      <c r="G58" s="3">
        <v>75637.5</v>
      </c>
      <c r="H58" s="3">
        <v>40265.07</v>
      </c>
      <c r="I58" s="3">
        <v>35372.43</v>
      </c>
      <c r="J58" t="s">
        <v>29</v>
      </c>
      <c r="K58" t="s">
        <v>23</v>
      </c>
    </row>
    <row r="59" spans="1:11" x14ac:dyDescent="0.25">
      <c r="A59" s="1">
        <v>45746</v>
      </c>
      <c r="B59" t="s">
        <v>20</v>
      </c>
      <c r="C59" t="s">
        <v>37</v>
      </c>
      <c r="D59" t="s">
        <v>38</v>
      </c>
      <c r="E59" s="2">
        <v>3</v>
      </c>
      <c r="F59" s="3">
        <v>5728.69</v>
      </c>
      <c r="G59" s="3">
        <v>17186.07</v>
      </c>
      <c r="H59" s="3">
        <v>8280.23</v>
      </c>
      <c r="I59" s="3">
        <v>8905.84</v>
      </c>
      <c r="J59" t="s">
        <v>14</v>
      </c>
      <c r="K59" t="s">
        <v>15</v>
      </c>
    </row>
    <row r="60" spans="1:11" x14ac:dyDescent="0.25">
      <c r="A60" s="1">
        <v>45747</v>
      </c>
      <c r="B60" t="s">
        <v>53</v>
      </c>
      <c r="C60" t="s">
        <v>12</v>
      </c>
      <c r="D60" t="s">
        <v>48</v>
      </c>
      <c r="E60" s="2">
        <v>3</v>
      </c>
      <c r="F60" s="3">
        <v>21502.42</v>
      </c>
      <c r="G60" s="3">
        <v>64507.26</v>
      </c>
      <c r="H60" s="3">
        <v>40260.9</v>
      </c>
      <c r="I60" s="3">
        <v>24246.36</v>
      </c>
      <c r="J60" t="s">
        <v>32</v>
      </c>
      <c r="K60" t="s">
        <v>30</v>
      </c>
    </row>
    <row r="61" spans="1:11" x14ac:dyDescent="0.25">
      <c r="A61" s="1">
        <v>45749</v>
      </c>
      <c r="B61" t="s">
        <v>24</v>
      </c>
      <c r="C61" t="s">
        <v>21</v>
      </c>
      <c r="D61" t="s">
        <v>54</v>
      </c>
      <c r="E61" s="2">
        <v>5</v>
      </c>
      <c r="F61" s="3">
        <v>11562.42</v>
      </c>
      <c r="G61" s="3">
        <v>57812.1</v>
      </c>
      <c r="H61" s="3">
        <v>46432.36</v>
      </c>
      <c r="I61" s="3">
        <v>11379.74</v>
      </c>
      <c r="J61" t="s">
        <v>27</v>
      </c>
      <c r="K61" t="s">
        <v>23</v>
      </c>
    </row>
    <row r="62" spans="1:11" x14ac:dyDescent="0.25">
      <c r="A62" s="1">
        <v>45752</v>
      </c>
      <c r="B62" t="s">
        <v>55</v>
      </c>
      <c r="C62" t="s">
        <v>21</v>
      </c>
      <c r="D62" t="s">
        <v>54</v>
      </c>
      <c r="E62" s="2">
        <v>5</v>
      </c>
      <c r="F62" s="3">
        <v>5259.89</v>
      </c>
      <c r="G62" s="3">
        <v>26299.45</v>
      </c>
      <c r="H62" s="3">
        <v>19924.18</v>
      </c>
      <c r="I62" s="3">
        <v>6375.27</v>
      </c>
      <c r="J62" t="s">
        <v>29</v>
      </c>
      <c r="K62" t="s">
        <v>19</v>
      </c>
    </row>
    <row r="63" spans="1:11" x14ac:dyDescent="0.25">
      <c r="A63" s="1">
        <v>45762</v>
      </c>
      <c r="B63" t="s">
        <v>42</v>
      </c>
      <c r="C63" t="s">
        <v>21</v>
      </c>
      <c r="D63" t="s">
        <v>22</v>
      </c>
      <c r="E63" s="2">
        <v>7</v>
      </c>
      <c r="F63" s="3">
        <v>9519.1299999999992</v>
      </c>
      <c r="G63" s="3">
        <v>66633.91</v>
      </c>
      <c r="H63" s="3">
        <v>51730.75</v>
      </c>
      <c r="I63" s="3">
        <v>14903.16</v>
      </c>
      <c r="J63" t="s">
        <v>14</v>
      </c>
      <c r="K63" t="s">
        <v>46</v>
      </c>
    </row>
    <row r="64" spans="1:11" x14ac:dyDescent="0.25">
      <c r="A64" s="1">
        <v>45765</v>
      </c>
      <c r="B64" t="s">
        <v>53</v>
      </c>
      <c r="C64" t="s">
        <v>37</v>
      </c>
      <c r="D64" t="s">
        <v>45</v>
      </c>
      <c r="E64" s="2">
        <v>1</v>
      </c>
      <c r="F64" s="3">
        <v>18163.400000000001</v>
      </c>
      <c r="G64" s="3">
        <v>18163.400000000001</v>
      </c>
      <c r="H64" s="3">
        <v>4677.42</v>
      </c>
      <c r="I64" s="3">
        <v>13485.98</v>
      </c>
      <c r="J64" t="s">
        <v>18</v>
      </c>
      <c r="K64" t="s">
        <v>23</v>
      </c>
    </row>
    <row r="65" spans="1:11" x14ac:dyDescent="0.25">
      <c r="A65" s="1">
        <v>45767</v>
      </c>
      <c r="B65" t="s">
        <v>11</v>
      </c>
      <c r="C65" t="s">
        <v>12</v>
      </c>
      <c r="D65" t="s">
        <v>13</v>
      </c>
      <c r="E65" s="2">
        <v>4</v>
      </c>
      <c r="F65" s="3">
        <v>8986.86</v>
      </c>
      <c r="G65" s="3">
        <v>35947.440000000002</v>
      </c>
      <c r="H65" s="3">
        <v>18669.28</v>
      </c>
      <c r="I65" s="3">
        <v>17278.16</v>
      </c>
      <c r="J65" t="s">
        <v>14</v>
      </c>
      <c r="K65" t="s">
        <v>46</v>
      </c>
    </row>
    <row r="66" spans="1:11" x14ac:dyDescent="0.25">
      <c r="A66" s="1">
        <v>45768</v>
      </c>
      <c r="B66" t="s">
        <v>42</v>
      </c>
      <c r="C66" t="s">
        <v>25</v>
      </c>
      <c r="D66" t="s">
        <v>31</v>
      </c>
      <c r="E66" s="2">
        <v>3</v>
      </c>
      <c r="F66" s="3">
        <v>9847.58</v>
      </c>
      <c r="G66" s="3">
        <v>29542.74</v>
      </c>
      <c r="H66" s="3">
        <v>17254</v>
      </c>
      <c r="I66" s="3">
        <v>12288.74</v>
      </c>
      <c r="J66" t="s">
        <v>18</v>
      </c>
      <c r="K66" t="s">
        <v>23</v>
      </c>
    </row>
    <row r="67" spans="1:11" x14ac:dyDescent="0.25">
      <c r="A67" s="1">
        <v>45768</v>
      </c>
      <c r="B67" t="s">
        <v>41</v>
      </c>
      <c r="C67" t="s">
        <v>12</v>
      </c>
      <c r="D67" t="s">
        <v>13</v>
      </c>
      <c r="E67" s="2">
        <v>3</v>
      </c>
      <c r="F67" s="3">
        <v>6627.21</v>
      </c>
      <c r="G67" s="3">
        <v>19881.63</v>
      </c>
      <c r="H67" s="3">
        <v>11024.53</v>
      </c>
      <c r="I67" s="3">
        <v>8857.1</v>
      </c>
      <c r="J67" t="s">
        <v>32</v>
      </c>
      <c r="K67" t="s">
        <v>30</v>
      </c>
    </row>
    <row r="68" spans="1:11" x14ac:dyDescent="0.25">
      <c r="A68" s="1">
        <v>45772</v>
      </c>
      <c r="B68" t="s">
        <v>44</v>
      </c>
      <c r="C68" t="s">
        <v>37</v>
      </c>
      <c r="D68" t="s">
        <v>38</v>
      </c>
      <c r="E68" s="2">
        <v>2</v>
      </c>
      <c r="F68" s="3">
        <v>5575</v>
      </c>
      <c r="G68" s="3">
        <v>11150</v>
      </c>
      <c r="H68" s="3">
        <v>5267.57</v>
      </c>
      <c r="I68" s="3">
        <v>5882.43</v>
      </c>
      <c r="J68" t="s">
        <v>14</v>
      </c>
      <c r="K68" t="s">
        <v>23</v>
      </c>
    </row>
    <row r="69" spans="1:11" x14ac:dyDescent="0.25">
      <c r="A69" s="1">
        <v>45773</v>
      </c>
      <c r="B69" t="s">
        <v>39</v>
      </c>
      <c r="C69" t="s">
        <v>21</v>
      </c>
      <c r="D69" t="s">
        <v>40</v>
      </c>
      <c r="E69" s="2">
        <v>4</v>
      </c>
      <c r="F69" s="3">
        <v>64061.71</v>
      </c>
      <c r="G69" s="3">
        <v>256246.84</v>
      </c>
      <c r="H69" s="3">
        <v>198581.81</v>
      </c>
      <c r="I69" s="3">
        <v>57665.03</v>
      </c>
      <c r="J69" t="s">
        <v>29</v>
      </c>
      <c r="K69" t="s">
        <v>30</v>
      </c>
    </row>
    <row r="70" spans="1:11" x14ac:dyDescent="0.25">
      <c r="A70" s="1">
        <v>45777</v>
      </c>
      <c r="B70" t="s">
        <v>41</v>
      </c>
      <c r="C70" t="s">
        <v>25</v>
      </c>
      <c r="D70" t="s">
        <v>26</v>
      </c>
      <c r="E70" s="2">
        <v>2</v>
      </c>
      <c r="F70" s="3">
        <v>27617.279999999999</v>
      </c>
      <c r="G70" s="3">
        <v>55234.559999999998</v>
      </c>
      <c r="H70" s="3">
        <v>37246.339999999997</v>
      </c>
      <c r="I70" s="3">
        <v>17988.22</v>
      </c>
      <c r="J70" t="s">
        <v>14</v>
      </c>
      <c r="K70" t="s">
        <v>19</v>
      </c>
    </row>
    <row r="71" spans="1:11" x14ac:dyDescent="0.25">
      <c r="A71" s="1">
        <v>45779</v>
      </c>
      <c r="B71" t="s">
        <v>33</v>
      </c>
      <c r="C71" t="s">
        <v>25</v>
      </c>
      <c r="D71" t="s">
        <v>31</v>
      </c>
      <c r="E71" s="2">
        <v>3</v>
      </c>
      <c r="F71" s="3">
        <v>17682.18</v>
      </c>
      <c r="G71" s="3">
        <v>53046.54</v>
      </c>
      <c r="H71" s="3">
        <v>28485.360000000001</v>
      </c>
      <c r="I71" s="3">
        <v>24561.18</v>
      </c>
      <c r="J71" t="s">
        <v>29</v>
      </c>
      <c r="K71" t="s">
        <v>23</v>
      </c>
    </row>
    <row r="72" spans="1:11" x14ac:dyDescent="0.25">
      <c r="A72" s="1">
        <v>45779</v>
      </c>
      <c r="B72" t="s">
        <v>50</v>
      </c>
      <c r="C72" t="s">
        <v>34</v>
      </c>
      <c r="D72" t="s">
        <v>35</v>
      </c>
      <c r="E72" s="2">
        <v>8</v>
      </c>
      <c r="F72" s="3">
        <v>2267.6799999999998</v>
      </c>
      <c r="G72" s="3">
        <v>18141.439999999999</v>
      </c>
      <c r="H72" s="3">
        <v>15432.09</v>
      </c>
      <c r="I72" s="3">
        <v>2709.35</v>
      </c>
      <c r="J72" t="s">
        <v>32</v>
      </c>
      <c r="K72" t="s">
        <v>46</v>
      </c>
    </row>
    <row r="73" spans="1:11" x14ac:dyDescent="0.25">
      <c r="A73" s="1">
        <v>45782</v>
      </c>
      <c r="B73" t="s">
        <v>33</v>
      </c>
      <c r="C73" t="s">
        <v>21</v>
      </c>
      <c r="D73" t="s">
        <v>40</v>
      </c>
      <c r="E73" s="2">
        <v>3</v>
      </c>
      <c r="F73" s="3">
        <v>25594.35</v>
      </c>
      <c r="G73" s="3">
        <v>76783.05</v>
      </c>
      <c r="H73" s="3">
        <v>56962.04</v>
      </c>
      <c r="I73" s="3">
        <v>19821.009999999998</v>
      </c>
      <c r="J73" t="s">
        <v>18</v>
      </c>
      <c r="K73" t="s">
        <v>30</v>
      </c>
    </row>
    <row r="74" spans="1:11" x14ac:dyDescent="0.25">
      <c r="A74" s="1">
        <v>45785</v>
      </c>
      <c r="B74" t="s">
        <v>39</v>
      </c>
      <c r="C74" t="s">
        <v>21</v>
      </c>
      <c r="D74" t="s">
        <v>54</v>
      </c>
      <c r="E74" s="2">
        <v>2</v>
      </c>
      <c r="F74" s="3">
        <v>12821.42</v>
      </c>
      <c r="G74" s="3">
        <v>25642.84</v>
      </c>
      <c r="H74" s="3">
        <v>19070.5</v>
      </c>
      <c r="I74" s="3">
        <v>6572.34</v>
      </c>
      <c r="J74" t="s">
        <v>27</v>
      </c>
      <c r="K74" t="s">
        <v>46</v>
      </c>
    </row>
    <row r="75" spans="1:11" x14ac:dyDescent="0.25">
      <c r="A75" s="1">
        <v>45786</v>
      </c>
      <c r="B75" t="s">
        <v>42</v>
      </c>
      <c r="C75" t="s">
        <v>12</v>
      </c>
      <c r="D75" t="s">
        <v>17</v>
      </c>
      <c r="E75" s="2">
        <v>1</v>
      </c>
      <c r="F75" s="3">
        <v>3579.18</v>
      </c>
      <c r="G75" s="3">
        <v>3579.18</v>
      </c>
      <c r="H75" s="3">
        <v>2328.16</v>
      </c>
      <c r="I75" s="3">
        <v>1251.02</v>
      </c>
      <c r="J75" t="s">
        <v>29</v>
      </c>
      <c r="K75" t="s">
        <v>19</v>
      </c>
    </row>
    <row r="76" spans="1:11" x14ac:dyDescent="0.25">
      <c r="A76" s="1">
        <v>45787</v>
      </c>
      <c r="B76" t="s">
        <v>42</v>
      </c>
      <c r="C76" t="s">
        <v>25</v>
      </c>
      <c r="D76" t="s">
        <v>28</v>
      </c>
      <c r="E76" s="2">
        <v>1</v>
      </c>
      <c r="F76" s="3">
        <v>39150.35</v>
      </c>
      <c r="G76" s="3">
        <v>39150.35</v>
      </c>
      <c r="H76" s="3">
        <v>18324.689999999999</v>
      </c>
      <c r="I76" s="3">
        <v>20825.66</v>
      </c>
      <c r="J76" t="s">
        <v>29</v>
      </c>
      <c r="K76" t="s">
        <v>46</v>
      </c>
    </row>
    <row r="77" spans="1:11" x14ac:dyDescent="0.25">
      <c r="A77" s="1">
        <v>45788</v>
      </c>
      <c r="B77" t="s">
        <v>42</v>
      </c>
      <c r="C77" t="s">
        <v>21</v>
      </c>
      <c r="D77" t="s">
        <v>22</v>
      </c>
      <c r="E77" s="2">
        <v>8</v>
      </c>
      <c r="F77" s="3">
        <v>16853.14</v>
      </c>
      <c r="G77" s="3">
        <v>134825.12</v>
      </c>
      <c r="H77" s="3">
        <v>92972.56</v>
      </c>
      <c r="I77" s="3">
        <v>41852.559999999998</v>
      </c>
      <c r="J77" t="s">
        <v>29</v>
      </c>
      <c r="K77" t="s">
        <v>19</v>
      </c>
    </row>
    <row r="78" spans="1:11" x14ac:dyDescent="0.25">
      <c r="A78" s="1">
        <v>45789</v>
      </c>
      <c r="B78" t="s">
        <v>42</v>
      </c>
      <c r="C78" t="s">
        <v>21</v>
      </c>
      <c r="D78" t="s">
        <v>22</v>
      </c>
      <c r="E78" s="2">
        <v>5</v>
      </c>
      <c r="F78" s="3">
        <v>15807.87</v>
      </c>
      <c r="G78" s="3">
        <v>79039.350000000006</v>
      </c>
      <c r="H78" s="3">
        <v>54494.34</v>
      </c>
      <c r="I78" s="3">
        <v>24545.01</v>
      </c>
      <c r="J78" t="s">
        <v>14</v>
      </c>
      <c r="K78" t="s">
        <v>23</v>
      </c>
    </row>
    <row r="79" spans="1:11" x14ac:dyDescent="0.25">
      <c r="A79" s="1">
        <v>45791</v>
      </c>
      <c r="B79" t="s">
        <v>33</v>
      </c>
      <c r="C79" t="s">
        <v>21</v>
      </c>
      <c r="D79" t="s">
        <v>54</v>
      </c>
      <c r="E79" s="2">
        <v>2</v>
      </c>
      <c r="F79" s="3">
        <v>5206.76</v>
      </c>
      <c r="G79" s="3">
        <v>10413.52</v>
      </c>
      <c r="H79" s="3">
        <v>8227.84</v>
      </c>
      <c r="I79" s="3">
        <v>2185.6799999999998</v>
      </c>
      <c r="J79" t="s">
        <v>27</v>
      </c>
      <c r="K79" t="s">
        <v>46</v>
      </c>
    </row>
    <row r="80" spans="1:11" x14ac:dyDescent="0.25">
      <c r="A80" s="1">
        <v>45792</v>
      </c>
      <c r="B80" t="s">
        <v>51</v>
      </c>
      <c r="C80" t="s">
        <v>21</v>
      </c>
      <c r="D80" t="s">
        <v>22</v>
      </c>
      <c r="E80" s="2">
        <v>2</v>
      </c>
      <c r="F80" s="3">
        <v>10647.81</v>
      </c>
      <c r="G80" s="3">
        <v>21295.62</v>
      </c>
      <c r="H80" s="3">
        <v>16855.189999999999</v>
      </c>
      <c r="I80" s="3">
        <v>4440.43</v>
      </c>
      <c r="J80" t="s">
        <v>29</v>
      </c>
      <c r="K80" t="s">
        <v>46</v>
      </c>
    </row>
    <row r="81" spans="1:11" x14ac:dyDescent="0.25">
      <c r="A81" s="1">
        <v>45796</v>
      </c>
      <c r="B81" t="s">
        <v>24</v>
      </c>
      <c r="C81" t="s">
        <v>34</v>
      </c>
      <c r="D81" t="s">
        <v>52</v>
      </c>
      <c r="E81" s="2">
        <v>2</v>
      </c>
      <c r="F81" s="3">
        <v>2473.25</v>
      </c>
      <c r="G81" s="3">
        <v>4946.5</v>
      </c>
      <c r="H81" s="3">
        <v>4098.92</v>
      </c>
      <c r="I81" s="3">
        <v>847.58</v>
      </c>
      <c r="J81" t="s">
        <v>27</v>
      </c>
      <c r="K81" t="s">
        <v>46</v>
      </c>
    </row>
    <row r="82" spans="1:11" x14ac:dyDescent="0.25">
      <c r="A82" s="1">
        <v>45798</v>
      </c>
      <c r="B82" t="s">
        <v>43</v>
      </c>
      <c r="C82" t="s">
        <v>21</v>
      </c>
      <c r="D82" t="s">
        <v>54</v>
      </c>
      <c r="E82" s="2">
        <v>1</v>
      </c>
      <c r="F82" s="3">
        <v>11217.46</v>
      </c>
      <c r="G82" s="3">
        <v>11217.46</v>
      </c>
      <c r="H82" s="3">
        <v>7768.37</v>
      </c>
      <c r="I82" s="3">
        <v>3449.09</v>
      </c>
      <c r="J82" t="s">
        <v>29</v>
      </c>
      <c r="K82" t="s">
        <v>30</v>
      </c>
    </row>
    <row r="83" spans="1:11" x14ac:dyDescent="0.25">
      <c r="A83" s="1">
        <v>45799</v>
      </c>
      <c r="B83" t="s">
        <v>42</v>
      </c>
      <c r="C83" t="s">
        <v>25</v>
      </c>
      <c r="D83" t="s">
        <v>26</v>
      </c>
      <c r="E83" s="2">
        <v>2</v>
      </c>
      <c r="F83" s="3">
        <v>22090.06</v>
      </c>
      <c r="G83" s="3">
        <v>44180.12</v>
      </c>
      <c r="H83" s="3">
        <v>24751.59</v>
      </c>
      <c r="I83" s="3">
        <v>19428.53</v>
      </c>
      <c r="J83" t="s">
        <v>32</v>
      </c>
      <c r="K83" t="s">
        <v>46</v>
      </c>
    </row>
    <row r="84" spans="1:11" x14ac:dyDescent="0.25">
      <c r="A84" s="1">
        <v>45801</v>
      </c>
      <c r="B84" t="s">
        <v>43</v>
      </c>
      <c r="C84" t="s">
        <v>21</v>
      </c>
      <c r="D84" t="s">
        <v>40</v>
      </c>
      <c r="E84" s="2">
        <v>4</v>
      </c>
      <c r="F84" s="3">
        <v>48469.41</v>
      </c>
      <c r="G84" s="3">
        <v>193877.64</v>
      </c>
      <c r="H84" s="3">
        <v>151341.60999999999</v>
      </c>
      <c r="I84" s="3">
        <v>42536.03</v>
      </c>
      <c r="J84" t="s">
        <v>14</v>
      </c>
      <c r="K84" t="s">
        <v>46</v>
      </c>
    </row>
    <row r="85" spans="1:11" x14ac:dyDescent="0.25">
      <c r="A85" s="1">
        <v>45803</v>
      </c>
      <c r="B85" t="s">
        <v>24</v>
      </c>
      <c r="C85" t="s">
        <v>34</v>
      </c>
      <c r="D85" t="s">
        <v>49</v>
      </c>
      <c r="E85" s="2">
        <v>7</v>
      </c>
      <c r="F85" s="3">
        <v>827.84</v>
      </c>
      <c r="G85" s="3">
        <v>5794.88</v>
      </c>
      <c r="H85" s="3">
        <v>4669.8100000000004</v>
      </c>
      <c r="I85" s="3">
        <v>1125.07</v>
      </c>
      <c r="J85" t="s">
        <v>32</v>
      </c>
      <c r="K85" t="s">
        <v>23</v>
      </c>
    </row>
    <row r="86" spans="1:11" x14ac:dyDescent="0.25">
      <c r="A86" s="1">
        <v>45806</v>
      </c>
      <c r="B86" t="s">
        <v>39</v>
      </c>
      <c r="C86" t="s">
        <v>21</v>
      </c>
      <c r="D86" t="s">
        <v>22</v>
      </c>
      <c r="E86" s="2">
        <v>8</v>
      </c>
      <c r="F86" s="3">
        <v>6524.3</v>
      </c>
      <c r="G86" s="3">
        <v>52194.400000000001</v>
      </c>
      <c r="H86" s="3">
        <v>37962.660000000003</v>
      </c>
      <c r="I86" s="3">
        <v>14231.74</v>
      </c>
      <c r="J86" t="s">
        <v>29</v>
      </c>
      <c r="K86" t="s">
        <v>46</v>
      </c>
    </row>
    <row r="87" spans="1:11" x14ac:dyDescent="0.25">
      <c r="A87" s="1">
        <v>45808</v>
      </c>
      <c r="B87" t="s">
        <v>33</v>
      </c>
      <c r="C87" t="s">
        <v>21</v>
      </c>
      <c r="D87" t="s">
        <v>54</v>
      </c>
      <c r="E87" s="2">
        <v>6</v>
      </c>
      <c r="F87" s="3">
        <v>10427.81</v>
      </c>
      <c r="G87" s="3">
        <v>62566.86</v>
      </c>
      <c r="H87" s="3">
        <v>44615.03</v>
      </c>
      <c r="I87" s="3">
        <v>17951.830000000002</v>
      </c>
      <c r="J87" t="s">
        <v>14</v>
      </c>
      <c r="K87" t="s">
        <v>15</v>
      </c>
    </row>
    <row r="88" spans="1:11" x14ac:dyDescent="0.25">
      <c r="A88" s="1">
        <v>45808</v>
      </c>
      <c r="B88" t="s">
        <v>11</v>
      </c>
      <c r="C88" t="s">
        <v>25</v>
      </c>
      <c r="D88" t="s">
        <v>31</v>
      </c>
      <c r="E88" s="2">
        <v>4</v>
      </c>
      <c r="F88" s="3">
        <v>19544.46</v>
      </c>
      <c r="G88" s="3">
        <v>78177.84</v>
      </c>
      <c r="H88" s="3">
        <v>49023.98</v>
      </c>
      <c r="I88" s="3">
        <v>29153.86</v>
      </c>
      <c r="J88" t="s">
        <v>29</v>
      </c>
      <c r="K88" t="s">
        <v>19</v>
      </c>
    </row>
    <row r="89" spans="1:11" x14ac:dyDescent="0.25">
      <c r="A89" s="1">
        <v>45811</v>
      </c>
      <c r="B89" t="s">
        <v>39</v>
      </c>
      <c r="C89" t="s">
        <v>12</v>
      </c>
      <c r="D89" t="s">
        <v>48</v>
      </c>
      <c r="E89" s="2">
        <v>1</v>
      </c>
      <c r="F89" s="3">
        <v>36606.19</v>
      </c>
      <c r="G89" s="3">
        <v>36606.19</v>
      </c>
      <c r="H89" s="3">
        <v>23033.51</v>
      </c>
      <c r="I89" s="3">
        <v>13572.68</v>
      </c>
      <c r="J89" t="s">
        <v>14</v>
      </c>
      <c r="K89" t="s">
        <v>30</v>
      </c>
    </row>
    <row r="90" spans="1:11" x14ac:dyDescent="0.25">
      <c r="A90" s="1">
        <v>45812</v>
      </c>
      <c r="B90" t="s">
        <v>55</v>
      </c>
      <c r="C90" t="s">
        <v>34</v>
      </c>
      <c r="D90" t="s">
        <v>52</v>
      </c>
      <c r="E90" s="2">
        <v>9</v>
      </c>
      <c r="F90" s="3">
        <v>2654.14</v>
      </c>
      <c r="G90" s="3">
        <v>23887.26</v>
      </c>
      <c r="H90" s="3">
        <v>20635.79</v>
      </c>
      <c r="I90" s="3">
        <v>3251.47</v>
      </c>
      <c r="J90" t="s">
        <v>32</v>
      </c>
      <c r="K90" t="s">
        <v>15</v>
      </c>
    </row>
    <row r="91" spans="1:11" x14ac:dyDescent="0.25">
      <c r="A91" s="1">
        <v>45814</v>
      </c>
      <c r="B91" t="s">
        <v>39</v>
      </c>
      <c r="C91" t="s">
        <v>21</v>
      </c>
      <c r="D91" t="s">
        <v>22</v>
      </c>
      <c r="E91" s="2">
        <v>4</v>
      </c>
      <c r="F91" s="3">
        <v>16094.49</v>
      </c>
      <c r="G91" s="3">
        <v>64377.96</v>
      </c>
      <c r="H91" s="3">
        <v>46030.27</v>
      </c>
      <c r="I91" s="3">
        <v>18347.689999999999</v>
      </c>
      <c r="J91" t="s">
        <v>29</v>
      </c>
      <c r="K91" t="s">
        <v>19</v>
      </c>
    </row>
    <row r="92" spans="1:11" x14ac:dyDescent="0.25">
      <c r="A92" s="1">
        <v>45815</v>
      </c>
      <c r="B92" t="s">
        <v>36</v>
      </c>
      <c r="C92" t="s">
        <v>12</v>
      </c>
      <c r="D92" t="s">
        <v>13</v>
      </c>
      <c r="E92" s="2">
        <v>1</v>
      </c>
      <c r="F92" s="3">
        <v>17337.14</v>
      </c>
      <c r="G92" s="3">
        <v>17337.14</v>
      </c>
      <c r="H92" s="3">
        <v>11240.61</v>
      </c>
      <c r="I92" s="3">
        <v>6096.53</v>
      </c>
      <c r="J92" t="s">
        <v>14</v>
      </c>
      <c r="K92" t="s">
        <v>15</v>
      </c>
    </row>
    <row r="93" spans="1:11" x14ac:dyDescent="0.25">
      <c r="A93" s="1">
        <v>45816</v>
      </c>
      <c r="B93" t="s">
        <v>43</v>
      </c>
      <c r="C93" t="s">
        <v>21</v>
      </c>
      <c r="D93" t="s">
        <v>54</v>
      </c>
      <c r="E93" s="2">
        <v>4</v>
      </c>
      <c r="F93" s="3">
        <v>6380.92</v>
      </c>
      <c r="G93" s="3">
        <v>25523.68</v>
      </c>
      <c r="H93" s="3">
        <v>18976.599999999999</v>
      </c>
      <c r="I93" s="3">
        <v>6547.08</v>
      </c>
      <c r="J93" t="s">
        <v>32</v>
      </c>
      <c r="K93" t="s">
        <v>15</v>
      </c>
    </row>
    <row r="94" spans="1:11" x14ac:dyDescent="0.25">
      <c r="A94" s="1">
        <v>45819</v>
      </c>
      <c r="B94" t="s">
        <v>33</v>
      </c>
      <c r="C94" t="s">
        <v>34</v>
      </c>
      <c r="D94" t="s">
        <v>52</v>
      </c>
      <c r="E94" s="2">
        <v>12</v>
      </c>
      <c r="F94" s="3">
        <v>2454.5</v>
      </c>
      <c r="G94" s="3">
        <v>29454</v>
      </c>
      <c r="H94" s="3">
        <v>24926.22</v>
      </c>
      <c r="I94" s="3">
        <v>4527.78</v>
      </c>
      <c r="J94" t="s">
        <v>29</v>
      </c>
      <c r="K94" t="s">
        <v>15</v>
      </c>
    </row>
    <row r="95" spans="1:11" x14ac:dyDescent="0.25">
      <c r="A95" s="1">
        <v>45819</v>
      </c>
      <c r="B95" t="s">
        <v>11</v>
      </c>
      <c r="C95" t="s">
        <v>12</v>
      </c>
      <c r="D95" t="s">
        <v>13</v>
      </c>
      <c r="E95" s="2">
        <v>4</v>
      </c>
      <c r="F95" s="3">
        <v>11040.04</v>
      </c>
      <c r="G95" s="3">
        <v>44160.160000000003</v>
      </c>
      <c r="H95" s="3">
        <v>25419.73</v>
      </c>
      <c r="I95" s="3">
        <v>18740.43</v>
      </c>
      <c r="J95" t="s">
        <v>27</v>
      </c>
      <c r="K95" t="s">
        <v>30</v>
      </c>
    </row>
    <row r="96" spans="1:11" x14ac:dyDescent="0.25">
      <c r="A96" s="1">
        <v>45819</v>
      </c>
      <c r="B96" t="s">
        <v>11</v>
      </c>
      <c r="C96" t="s">
        <v>25</v>
      </c>
      <c r="D96" t="s">
        <v>28</v>
      </c>
      <c r="E96" s="2">
        <v>2</v>
      </c>
      <c r="F96" s="3">
        <v>24840.27</v>
      </c>
      <c r="G96" s="3">
        <v>49680.54</v>
      </c>
      <c r="H96" s="3">
        <v>26544.959999999999</v>
      </c>
      <c r="I96" s="3">
        <v>23135.58</v>
      </c>
      <c r="J96" t="s">
        <v>18</v>
      </c>
      <c r="K96" t="s">
        <v>30</v>
      </c>
    </row>
    <row r="97" spans="1:11" x14ac:dyDescent="0.25">
      <c r="A97" s="1">
        <v>45820</v>
      </c>
      <c r="B97" t="s">
        <v>39</v>
      </c>
      <c r="C97" t="s">
        <v>37</v>
      </c>
      <c r="D97" t="s">
        <v>38</v>
      </c>
      <c r="E97" s="2">
        <v>3</v>
      </c>
      <c r="F97" s="3">
        <v>11326.89</v>
      </c>
      <c r="G97" s="3">
        <v>33980.67</v>
      </c>
      <c r="H97" s="3">
        <v>16673.84</v>
      </c>
      <c r="I97" s="3">
        <v>17306.830000000002</v>
      </c>
      <c r="J97" t="s">
        <v>32</v>
      </c>
      <c r="K97" t="s">
        <v>23</v>
      </c>
    </row>
    <row r="98" spans="1:11" x14ac:dyDescent="0.25">
      <c r="A98" s="1">
        <v>45821</v>
      </c>
      <c r="B98" t="s">
        <v>51</v>
      </c>
      <c r="C98" t="s">
        <v>21</v>
      </c>
      <c r="D98" t="s">
        <v>40</v>
      </c>
      <c r="E98" s="2">
        <v>3</v>
      </c>
      <c r="F98" s="3">
        <v>29647.279999999999</v>
      </c>
      <c r="G98" s="3">
        <v>88941.84</v>
      </c>
      <c r="H98" s="3">
        <v>65148.81</v>
      </c>
      <c r="I98" s="3">
        <v>23793.03</v>
      </c>
      <c r="J98" t="s">
        <v>14</v>
      </c>
      <c r="K98" t="s">
        <v>19</v>
      </c>
    </row>
    <row r="99" spans="1:11" x14ac:dyDescent="0.25">
      <c r="A99" s="1">
        <v>45822</v>
      </c>
      <c r="B99" t="s">
        <v>20</v>
      </c>
      <c r="C99" t="s">
        <v>37</v>
      </c>
      <c r="D99" t="s">
        <v>45</v>
      </c>
      <c r="E99" s="2">
        <v>1</v>
      </c>
      <c r="F99" s="3">
        <v>16545.689999999999</v>
      </c>
      <c r="G99" s="3">
        <v>16545.689999999999</v>
      </c>
      <c r="H99" s="3">
        <v>5477.28</v>
      </c>
      <c r="I99" s="3">
        <v>11068.41</v>
      </c>
      <c r="J99" t="s">
        <v>29</v>
      </c>
      <c r="K99" t="s">
        <v>46</v>
      </c>
    </row>
    <row r="100" spans="1:11" x14ac:dyDescent="0.25">
      <c r="A100" s="1">
        <v>45822</v>
      </c>
      <c r="B100" t="s">
        <v>24</v>
      </c>
      <c r="C100" t="s">
        <v>21</v>
      </c>
      <c r="D100" t="s">
        <v>22</v>
      </c>
      <c r="E100" s="2">
        <v>6</v>
      </c>
      <c r="F100" s="3">
        <v>13630.9</v>
      </c>
      <c r="G100" s="3">
        <v>81785.399999999994</v>
      </c>
      <c r="H100" s="3">
        <v>58333.78</v>
      </c>
      <c r="I100" s="3">
        <v>23451.62</v>
      </c>
      <c r="J100" t="s">
        <v>32</v>
      </c>
      <c r="K100" t="s">
        <v>46</v>
      </c>
    </row>
    <row r="101" spans="1:11" x14ac:dyDescent="0.25">
      <c r="A101" s="1">
        <v>45822</v>
      </c>
      <c r="B101" t="s">
        <v>39</v>
      </c>
      <c r="C101" t="s">
        <v>25</v>
      </c>
      <c r="D101" t="s">
        <v>31</v>
      </c>
      <c r="E101" s="2">
        <v>2</v>
      </c>
      <c r="F101" s="3">
        <v>15814.95</v>
      </c>
      <c r="G101" s="3">
        <v>31629.9</v>
      </c>
      <c r="H101" s="3">
        <v>20056.650000000001</v>
      </c>
      <c r="I101" s="3">
        <v>11573.25</v>
      </c>
      <c r="J101" t="s">
        <v>27</v>
      </c>
      <c r="K101" t="s">
        <v>23</v>
      </c>
    </row>
    <row r="102" spans="1:11" x14ac:dyDescent="0.25">
      <c r="A102" s="1">
        <v>45822</v>
      </c>
      <c r="B102" t="s">
        <v>33</v>
      </c>
      <c r="C102" t="s">
        <v>34</v>
      </c>
      <c r="D102" t="s">
        <v>35</v>
      </c>
      <c r="E102" s="2">
        <v>6</v>
      </c>
      <c r="F102" s="3">
        <v>2741.08</v>
      </c>
      <c r="G102" s="3">
        <v>16446.48</v>
      </c>
      <c r="H102" s="3">
        <v>12116.71</v>
      </c>
      <c r="I102" s="3">
        <v>4329.7700000000004</v>
      </c>
      <c r="J102" t="s">
        <v>14</v>
      </c>
      <c r="K102" t="s">
        <v>46</v>
      </c>
    </row>
    <row r="103" spans="1:11" x14ac:dyDescent="0.25">
      <c r="A103" s="1">
        <v>45822</v>
      </c>
      <c r="B103" t="s">
        <v>36</v>
      </c>
      <c r="C103" t="s">
        <v>34</v>
      </c>
      <c r="D103" t="s">
        <v>49</v>
      </c>
      <c r="E103" s="2">
        <v>10</v>
      </c>
      <c r="F103" s="3">
        <v>947.5</v>
      </c>
      <c r="G103" s="3">
        <v>9475</v>
      </c>
      <c r="H103" s="3">
        <v>8296.1299999999992</v>
      </c>
      <c r="I103" s="3">
        <v>1178.8699999999999</v>
      </c>
      <c r="J103" t="s">
        <v>29</v>
      </c>
      <c r="K103" t="s">
        <v>30</v>
      </c>
    </row>
    <row r="104" spans="1:11" x14ac:dyDescent="0.25">
      <c r="A104" s="1">
        <v>45823</v>
      </c>
      <c r="B104" t="s">
        <v>55</v>
      </c>
      <c r="C104" t="s">
        <v>37</v>
      </c>
      <c r="D104" t="s">
        <v>45</v>
      </c>
      <c r="E104" s="2">
        <v>1</v>
      </c>
      <c r="F104" s="3">
        <v>17091</v>
      </c>
      <c r="G104" s="3">
        <v>17091</v>
      </c>
      <c r="H104" s="3">
        <v>5717.74</v>
      </c>
      <c r="I104" s="3">
        <v>11373.26</v>
      </c>
      <c r="J104" t="s">
        <v>32</v>
      </c>
      <c r="K104" t="s">
        <v>15</v>
      </c>
    </row>
    <row r="105" spans="1:11" x14ac:dyDescent="0.25">
      <c r="A105" s="1">
        <v>45826</v>
      </c>
      <c r="B105" t="s">
        <v>39</v>
      </c>
      <c r="C105" t="s">
        <v>25</v>
      </c>
      <c r="D105" t="s">
        <v>31</v>
      </c>
      <c r="E105" s="2">
        <v>3</v>
      </c>
      <c r="F105" s="3">
        <v>12798.53</v>
      </c>
      <c r="G105" s="3">
        <v>38395.589999999997</v>
      </c>
      <c r="H105" s="3">
        <v>21449.24</v>
      </c>
      <c r="I105" s="3">
        <v>16946.349999999999</v>
      </c>
      <c r="J105" t="s">
        <v>27</v>
      </c>
      <c r="K105" t="s">
        <v>46</v>
      </c>
    </row>
    <row r="106" spans="1:11" x14ac:dyDescent="0.25">
      <c r="A106" s="1">
        <v>45828</v>
      </c>
      <c r="B106" t="s">
        <v>33</v>
      </c>
      <c r="C106" t="s">
        <v>34</v>
      </c>
      <c r="D106" t="s">
        <v>49</v>
      </c>
      <c r="E106" s="2">
        <v>5</v>
      </c>
      <c r="F106" s="3">
        <v>2187.96</v>
      </c>
      <c r="G106" s="3">
        <v>10939.8</v>
      </c>
      <c r="H106" s="3">
        <v>9624.6200000000008</v>
      </c>
      <c r="I106" s="3">
        <v>1315.18</v>
      </c>
      <c r="J106" t="s">
        <v>14</v>
      </c>
      <c r="K106" t="s">
        <v>15</v>
      </c>
    </row>
    <row r="107" spans="1:11" x14ac:dyDescent="0.25">
      <c r="A107" s="1">
        <v>45828</v>
      </c>
      <c r="B107" t="s">
        <v>11</v>
      </c>
      <c r="C107" t="s">
        <v>12</v>
      </c>
      <c r="D107" t="s">
        <v>48</v>
      </c>
      <c r="E107" s="2">
        <v>2</v>
      </c>
      <c r="F107" s="3">
        <v>18399.96</v>
      </c>
      <c r="G107" s="3">
        <v>36799.919999999998</v>
      </c>
      <c r="H107" s="3">
        <v>23082.83</v>
      </c>
      <c r="I107" s="3">
        <v>13717.09</v>
      </c>
      <c r="J107" t="s">
        <v>18</v>
      </c>
      <c r="K107" t="s">
        <v>30</v>
      </c>
    </row>
    <row r="108" spans="1:11" x14ac:dyDescent="0.25">
      <c r="A108" s="1">
        <v>45829</v>
      </c>
      <c r="B108" t="s">
        <v>39</v>
      </c>
      <c r="C108" t="s">
        <v>21</v>
      </c>
      <c r="D108" t="s">
        <v>54</v>
      </c>
      <c r="E108" s="2">
        <v>3</v>
      </c>
      <c r="F108" s="3">
        <v>5886.02</v>
      </c>
      <c r="G108" s="3">
        <v>17658.060000000001</v>
      </c>
      <c r="H108" s="3">
        <v>13826.16</v>
      </c>
      <c r="I108" s="3">
        <v>3831.9</v>
      </c>
      <c r="J108" t="s">
        <v>32</v>
      </c>
      <c r="K108" t="s">
        <v>46</v>
      </c>
    </row>
    <row r="109" spans="1:11" x14ac:dyDescent="0.25">
      <c r="A109" s="1">
        <v>45830</v>
      </c>
      <c r="B109" t="s">
        <v>20</v>
      </c>
      <c r="C109" t="s">
        <v>37</v>
      </c>
      <c r="D109" t="s">
        <v>38</v>
      </c>
      <c r="E109" s="2">
        <v>3</v>
      </c>
      <c r="F109" s="3">
        <v>8608.4</v>
      </c>
      <c r="G109" s="3">
        <v>25825.200000000001</v>
      </c>
      <c r="H109" s="3">
        <v>11173.98</v>
      </c>
      <c r="I109" s="3">
        <v>14651.22</v>
      </c>
      <c r="J109" t="s">
        <v>14</v>
      </c>
      <c r="K109" t="s">
        <v>19</v>
      </c>
    </row>
    <row r="110" spans="1:11" x14ac:dyDescent="0.25">
      <c r="A110" s="1">
        <v>45835</v>
      </c>
      <c r="B110" t="s">
        <v>50</v>
      </c>
      <c r="C110" t="s">
        <v>34</v>
      </c>
      <c r="D110" t="s">
        <v>52</v>
      </c>
      <c r="E110" s="2">
        <v>13</v>
      </c>
      <c r="F110" s="3">
        <v>2440.4299999999998</v>
      </c>
      <c r="G110" s="3">
        <v>31725.59</v>
      </c>
      <c r="H110" s="3">
        <v>24478.47</v>
      </c>
      <c r="I110" s="3">
        <v>7247.12</v>
      </c>
      <c r="J110" t="s">
        <v>14</v>
      </c>
      <c r="K110" t="s">
        <v>19</v>
      </c>
    </row>
    <row r="111" spans="1:11" x14ac:dyDescent="0.25">
      <c r="A111" s="1">
        <v>45838</v>
      </c>
      <c r="B111" t="s">
        <v>55</v>
      </c>
      <c r="C111" t="s">
        <v>37</v>
      </c>
      <c r="D111" t="s">
        <v>47</v>
      </c>
      <c r="E111" s="2">
        <v>1</v>
      </c>
      <c r="F111" s="3">
        <v>15854.02</v>
      </c>
      <c r="G111" s="3">
        <v>15854.02</v>
      </c>
      <c r="H111" s="3">
        <v>5142.1899999999996</v>
      </c>
      <c r="I111" s="3">
        <v>10711.83</v>
      </c>
      <c r="J111" t="s">
        <v>27</v>
      </c>
      <c r="K111" t="s">
        <v>15</v>
      </c>
    </row>
    <row r="112" spans="1:11" x14ac:dyDescent="0.25">
      <c r="A112" s="1">
        <v>45840</v>
      </c>
      <c r="B112" t="s">
        <v>53</v>
      </c>
      <c r="C112" t="s">
        <v>37</v>
      </c>
      <c r="D112" t="s">
        <v>47</v>
      </c>
      <c r="E112" s="2">
        <v>1</v>
      </c>
      <c r="F112" s="3">
        <v>12192.25</v>
      </c>
      <c r="G112" s="3">
        <v>12192.25</v>
      </c>
      <c r="H112" s="3">
        <v>4460.21</v>
      </c>
      <c r="I112" s="3">
        <v>7732.04</v>
      </c>
      <c r="J112" t="s">
        <v>27</v>
      </c>
      <c r="K112" t="s">
        <v>15</v>
      </c>
    </row>
    <row r="113" spans="1:11" x14ac:dyDescent="0.25">
      <c r="A113" s="1">
        <v>45842</v>
      </c>
      <c r="B113" t="s">
        <v>51</v>
      </c>
      <c r="C113" t="s">
        <v>21</v>
      </c>
      <c r="D113" t="s">
        <v>54</v>
      </c>
      <c r="E113" s="2">
        <v>3</v>
      </c>
      <c r="F113" s="3">
        <v>6030.69</v>
      </c>
      <c r="G113" s="3">
        <v>18092.07</v>
      </c>
      <c r="H113" s="3">
        <v>13678.73</v>
      </c>
      <c r="I113" s="3">
        <v>4413.34</v>
      </c>
      <c r="J113" t="s">
        <v>32</v>
      </c>
      <c r="K113" t="s">
        <v>19</v>
      </c>
    </row>
    <row r="114" spans="1:11" x14ac:dyDescent="0.25">
      <c r="A114" s="1">
        <v>45843</v>
      </c>
      <c r="B114" t="s">
        <v>50</v>
      </c>
      <c r="C114" t="s">
        <v>21</v>
      </c>
      <c r="D114" t="s">
        <v>22</v>
      </c>
      <c r="E114" s="2">
        <v>8</v>
      </c>
      <c r="F114" s="3">
        <v>7527.31</v>
      </c>
      <c r="G114" s="3">
        <v>60218.48</v>
      </c>
      <c r="H114" s="3">
        <v>41860.910000000003</v>
      </c>
      <c r="I114" s="3">
        <v>18357.57</v>
      </c>
      <c r="J114" t="s">
        <v>18</v>
      </c>
      <c r="K114" t="s">
        <v>46</v>
      </c>
    </row>
    <row r="115" spans="1:11" x14ac:dyDescent="0.25">
      <c r="A115" s="1">
        <v>45844</v>
      </c>
      <c r="B115" t="s">
        <v>51</v>
      </c>
      <c r="C115" t="s">
        <v>34</v>
      </c>
      <c r="D115" t="s">
        <v>49</v>
      </c>
      <c r="E115" s="2">
        <v>6</v>
      </c>
      <c r="F115" s="3">
        <v>2419.11</v>
      </c>
      <c r="G115" s="3">
        <v>14514.66</v>
      </c>
      <c r="H115" s="3">
        <v>12030.44</v>
      </c>
      <c r="I115" s="3">
        <v>2484.2199999999998</v>
      </c>
      <c r="J115" t="s">
        <v>18</v>
      </c>
      <c r="K115" t="s">
        <v>30</v>
      </c>
    </row>
    <row r="116" spans="1:11" x14ac:dyDescent="0.25">
      <c r="A116" s="1">
        <v>45850</v>
      </c>
      <c r="B116" t="s">
        <v>33</v>
      </c>
      <c r="C116" t="s">
        <v>25</v>
      </c>
      <c r="D116" t="s">
        <v>28</v>
      </c>
      <c r="E116" s="2">
        <v>1</v>
      </c>
      <c r="F116" s="3">
        <v>43462.32</v>
      </c>
      <c r="G116" s="3">
        <v>43462.32</v>
      </c>
      <c r="H116" s="3">
        <v>24287.46</v>
      </c>
      <c r="I116" s="3">
        <v>19174.86</v>
      </c>
      <c r="J116" t="s">
        <v>18</v>
      </c>
      <c r="K116" t="s">
        <v>30</v>
      </c>
    </row>
    <row r="117" spans="1:11" x14ac:dyDescent="0.25">
      <c r="A117" s="1">
        <v>45850</v>
      </c>
      <c r="B117" t="s">
        <v>24</v>
      </c>
      <c r="C117" t="s">
        <v>21</v>
      </c>
      <c r="D117" t="s">
        <v>54</v>
      </c>
      <c r="E117" s="2">
        <v>4</v>
      </c>
      <c r="F117" s="3">
        <v>10331.120000000001</v>
      </c>
      <c r="G117" s="3">
        <v>41324.480000000003</v>
      </c>
      <c r="H117" s="3">
        <v>31292.16</v>
      </c>
      <c r="I117" s="3">
        <v>10032.32</v>
      </c>
      <c r="J117" t="s">
        <v>29</v>
      </c>
      <c r="K117" t="s">
        <v>15</v>
      </c>
    </row>
    <row r="118" spans="1:11" x14ac:dyDescent="0.25">
      <c r="A118" s="1">
        <v>45850</v>
      </c>
      <c r="B118" t="s">
        <v>41</v>
      </c>
      <c r="C118" t="s">
        <v>25</v>
      </c>
      <c r="D118" t="s">
        <v>31</v>
      </c>
      <c r="E118" s="2">
        <v>3</v>
      </c>
      <c r="F118" s="3">
        <v>16486.43</v>
      </c>
      <c r="G118" s="3">
        <v>49459.29</v>
      </c>
      <c r="H118" s="3">
        <v>27632.21</v>
      </c>
      <c r="I118" s="3">
        <v>21827.08</v>
      </c>
      <c r="J118" t="s">
        <v>32</v>
      </c>
      <c r="K118" t="s">
        <v>46</v>
      </c>
    </row>
    <row r="119" spans="1:11" x14ac:dyDescent="0.25">
      <c r="A119" s="1">
        <v>45851</v>
      </c>
      <c r="B119" t="s">
        <v>51</v>
      </c>
      <c r="C119" t="s">
        <v>34</v>
      </c>
      <c r="D119" t="s">
        <v>35</v>
      </c>
      <c r="E119" s="2">
        <v>2</v>
      </c>
      <c r="F119" s="3">
        <v>1849.62</v>
      </c>
      <c r="G119" s="3">
        <v>3699.24</v>
      </c>
      <c r="H119" s="3">
        <v>2681.6</v>
      </c>
      <c r="I119" s="3">
        <v>1017.64</v>
      </c>
      <c r="J119" t="s">
        <v>18</v>
      </c>
      <c r="K119" t="s">
        <v>15</v>
      </c>
    </row>
    <row r="120" spans="1:11" x14ac:dyDescent="0.25">
      <c r="A120" s="1">
        <v>45856</v>
      </c>
      <c r="B120" t="s">
        <v>41</v>
      </c>
      <c r="C120" t="s">
        <v>12</v>
      </c>
      <c r="D120" t="s">
        <v>13</v>
      </c>
      <c r="E120" s="2">
        <v>1</v>
      </c>
      <c r="F120" s="3">
        <v>13605.08</v>
      </c>
      <c r="G120" s="3">
        <v>13605.08</v>
      </c>
      <c r="H120" s="3">
        <v>8948.75</v>
      </c>
      <c r="I120" s="3">
        <v>4656.33</v>
      </c>
      <c r="J120" t="s">
        <v>29</v>
      </c>
      <c r="K120" t="s">
        <v>30</v>
      </c>
    </row>
    <row r="121" spans="1:11" x14ac:dyDescent="0.25">
      <c r="A121" s="1">
        <v>45857</v>
      </c>
      <c r="B121" t="s">
        <v>53</v>
      </c>
      <c r="C121" t="s">
        <v>12</v>
      </c>
      <c r="D121" t="s">
        <v>48</v>
      </c>
      <c r="E121" s="2">
        <v>2</v>
      </c>
      <c r="F121" s="3">
        <v>34817.300000000003</v>
      </c>
      <c r="G121" s="3">
        <v>69634.600000000006</v>
      </c>
      <c r="H121" s="3">
        <v>38517.79</v>
      </c>
      <c r="I121" s="3">
        <v>31116.81</v>
      </c>
      <c r="J121" t="s">
        <v>27</v>
      </c>
      <c r="K121" t="s">
        <v>23</v>
      </c>
    </row>
    <row r="122" spans="1:11" x14ac:dyDescent="0.25">
      <c r="A122" s="1">
        <v>45858</v>
      </c>
      <c r="B122" t="s">
        <v>24</v>
      </c>
      <c r="C122" t="s">
        <v>21</v>
      </c>
      <c r="D122" t="s">
        <v>54</v>
      </c>
      <c r="E122" s="2">
        <v>4</v>
      </c>
      <c r="F122" s="3">
        <v>11697.08</v>
      </c>
      <c r="G122" s="3">
        <v>46788.32</v>
      </c>
      <c r="H122" s="3">
        <v>37900.78</v>
      </c>
      <c r="I122" s="3">
        <v>8887.5400000000009</v>
      </c>
      <c r="J122" t="s">
        <v>18</v>
      </c>
      <c r="K122" t="s">
        <v>23</v>
      </c>
    </row>
    <row r="123" spans="1:11" x14ac:dyDescent="0.25">
      <c r="A123" s="1">
        <v>45862</v>
      </c>
      <c r="B123" t="s">
        <v>11</v>
      </c>
      <c r="C123" t="s">
        <v>25</v>
      </c>
      <c r="D123" t="s">
        <v>28</v>
      </c>
      <c r="E123" s="2">
        <v>3</v>
      </c>
      <c r="F123" s="3">
        <v>40830.97</v>
      </c>
      <c r="G123" s="3">
        <v>122492.91</v>
      </c>
      <c r="H123" s="3">
        <v>75251.350000000006</v>
      </c>
      <c r="I123" s="3">
        <v>47241.56</v>
      </c>
      <c r="J123" t="s">
        <v>14</v>
      </c>
      <c r="K123" t="s">
        <v>30</v>
      </c>
    </row>
    <row r="124" spans="1:11" x14ac:dyDescent="0.25">
      <c r="A124" s="1">
        <v>45862</v>
      </c>
      <c r="B124" t="s">
        <v>42</v>
      </c>
      <c r="C124" t="s">
        <v>12</v>
      </c>
      <c r="D124" t="s">
        <v>48</v>
      </c>
      <c r="E124" s="2">
        <v>3</v>
      </c>
      <c r="F124" s="3">
        <v>14485.05</v>
      </c>
      <c r="G124" s="3">
        <v>43455.15</v>
      </c>
      <c r="H124" s="3">
        <v>28365.8</v>
      </c>
      <c r="I124" s="3">
        <v>15089.35</v>
      </c>
      <c r="J124" t="s">
        <v>29</v>
      </c>
      <c r="K124" t="s">
        <v>30</v>
      </c>
    </row>
    <row r="125" spans="1:11" x14ac:dyDescent="0.25">
      <c r="A125" s="1">
        <v>45863</v>
      </c>
      <c r="B125" t="s">
        <v>36</v>
      </c>
      <c r="C125" t="s">
        <v>25</v>
      </c>
      <c r="D125" t="s">
        <v>26</v>
      </c>
      <c r="E125" s="2">
        <v>1</v>
      </c>
      <c r="F125" s="3">
        <v>27222.06</v>
      </c>
      <c r="G125" s="3">
        <v>27222.06</v>
      </c>
      <c r="H125" s="3">
        <v>14116.47</v>
      </c>
      <c r="I125" s="3">
        <v>13105.59</v>
      </c>
      <c r="J125" t="s">
        <v>18</v>
      </c>
      <c r="K125" t="s">
        <v>30</v>
      </c>
    </row>
    <row r="126" spans="1:11" x14ac:dyDescent="0.25">
      <c r="A126" s="1">
        <v>45865</v>
      </c>
      <c r="B126" t="s">
        <v>55</v>
      </c>
      <c r="C126" t="s">
        <v>12</v>
      </c>
      <c r="D126" t="s">
        <v>13</v>
      </c>
      <c r="E126" s="2">
        <v>2</v>
      </c>
      <c r="F126" s="3">
        <v>5430.24</v>
      </c>
      <c r="G126" s="3">
        <v>10860.48</v>
      </c>
      <c r="H126" s="3">
        <v>6612.89</v>
      </c>
      <c r="I126" s="3">
        <v>4247.59</v>
      </c>
      <c r="J126" t="s">
        <v>14</v>
      </c>
      <c r="K126" t="s">
        <v>15</v>
      </c>
    </row>
    <row r="127" spans="1:11" x14ac:dyDescent="0.25">
      <c r="A127" s="1">
        <v>45866</v>
      </c>
      <c r="B127" t="s">
        <v>39</v>
      </c>
      <c r="C127" t="s">
        <v>25</v>
      </c>
      <c r="D127" t="s">
        <v>31</v>
      </c>
      <c r="E127" s="2">
        <v>4</v>
      </c>
      <c r="F127" s="3">
        <v>24412.42</v>
      </c>
      <c r="G127" s="3">
        <v>97649.68</v>
      </c>
      <c r="H127" s="3">
        <v>43984.45</v>
      </c>
      <c r="I127" s="3">
        <v>53665.23</v>
      </c>
      <c r="J127" t="s">
        <v>32</v>
      </c>
      <c r="K127" t="s">
        <v>19</v>
      </c>
    </row>
    <row r="128" spans="1:11" x14ac:dyDescent="0.25">
      <c r="A128" s="1">
        <v>45868</v>
      </c>
      <c r="B128" t="s">
        <v>11</v>
      </c>
      <c r="C128" t="s">
        <v>12</v>
      </c>
      <c r="D128" t="s">
        <v>17</v>
      </c>
      <c r="E128" s="2">
        <v>4</v>
      </c>
      <c r="F128" s="3">
        <v>6834.71</v>
      </c>
      <c r="G128" s="3">
        <v>27338.84</v>
      </c>
      <c r="H128" s="3">
        <v>14082.52</v>
      </c>
      <c r="I128" s="3">
        <v>13256.32</v>
      </c>
      <c r="J128" t="s">
        <v>32</v>
      </c>
      <c r="K128" t="s">
        <v>19</v>
      </c>
    </row>
    <row r="129" spans="1:11" x14ac:dyDescent="0.25">
      <c r="A129" s="1">
        <v>45869</v>
      </c>
      <c r="B129" t="s">
        <v>20</v>
      </c>
      <c r="C129" t="s">
        <v>25</v>
      </c>
      <c r="D129" t="s">
        <v>26</v>
      </c>
      <c r="E129" s="2">
        <v>1</v>
      </c>
      <c r="F129" s="3">
        <v>15580.13</v>
      </c>
      <c r="G129" s="3">
        <v>15580.13</v>
      </c>
      <c r="H129" s="3">
        <v>9142.02</v>
      </c>
      <c r="I129" s="3">
        <v>6438.11</v>
      </c>
      <c r="J129" t="s">
        <v>27</v>
      </c>
      <c r="K129" t="s">
        <v>23</v>
      </c>
    </row>
    <row r="130" spans="1:11" x14ac:dyDescent="0.25">
      <c r="A130" s="1">
        <v>45869</v>
      </c>
      <c r="B130" t="s">
        <v>20</v>
      </c>
      <c r="C130" t="s">
        <v>37</v>
      </c>
      <c r="D130" t="s">
        <v>38</v>
      </c>
      <c r="E130" s="2">
        <v>1</v>
      </c>
      <c r="F130" s="3">
        <v>9545.19</v>
      </c>
      <c r="G130" s="3">
        <v>9545.19</v>
      </c>
      <c r="H130" s="3">
        <v>4598.3999999999996</v>
      </c>
      <c r="I130" s="3">
        <v>4946.79</v>
      </c>
      <c r="J130" t="s">
        <v>29</v>
      </c>
      <c r="K130" t="s">
        <v>46</v>
      </c>
    </row>
    <row r="131" spans="1:11" x14ac:dyDescent="0.25">
      <c r="A131" s="1">
        <v>45870</v>
      </c>
      <c r="B131" t="s">
        <v>20</v>
      </c>
      <c r="C131" t="s">
        <v>37</v>
      </c>
      <c r="D131" t="s">
        <v>38</v>
      </c>
      <c r="E131" s="2">
        <v>2</v>
      </c>
      <c r="F131" s="3">
        <v>9466.9</v>
      </c>
      <c r="G131" s="3">
        <v>18933.8</v>
      </c>
      <c r="H131" s="3">
        <v>6783.12</v>
      </c>
      <c r="I131" s="3">
        <v>12150.68</v>
      </c>
      <c r="J131" t="s">
        <v>14</v>
      </c>
      <c r="K131" t="s">
        <v>46</v>
      </c>
    </row>
    <row r="132" spans="1:11" x14ac:dyDescent="0.25">
      <c r="A132" s="1">
        <v>45873</v>
      </c>
      <c r="B132" t="s">
        <v>33</v>
      </c>
      <c r="C132" t="s">
        <v>34</v>
      </c>
      <c r="D132" t="s">
        <v>49</v>
      </c>
      <c r="E132" s="2">
        <v>10</v>
      </c>
      <c r="F132" s="3">
        <v>2365.27</v>
      </c>
      <c r="G132" s="3">
        <v>23652.7</v>
      </c>
      <c r="H132" s="3">
        <v>18343.91</v>
      </c>
      <c r="I132" s="3">
        <v>5308.79</v>
      </c>
      <c r="J132" t="s">
        <v>32</v>
      </c>
      <c r="K132" t="s">
        <v>46</v>
      </c>
    </row>
    <row r="133" spans="1:11" x14ac:dyDescent="0.25">
      <c r="A133" s="1">
        <v>45873</v>
      </c>
      <c r="B133" t="s">
        <v>33</v>
      </c>
      <c r="C133" t="s">
        <v>25</v>
      </c>
      <c r="D133" t="s">
        <v>31</v>
      </c>
      <c r="E133" s="2">
        <v>2</v>
      </c>
      <c r="F133" s="3">
        <v>6861.59</v>
      </c>
      <c r="G133" s="3">
        <v>13723.18</v>
      </c>
      <c r="H133" s="3">
        <v>6277.56</v>
      </c>
      <c r="I133" s="3">
        <v>7445.62</v>
      </c>
      <c r="J133" t="s">
        <v>27</v>
      </c>
      <c r="K133" t="s">
        <v>15</v>
      </c>
    </row>
    <row r="134" spans="1:11" x14ac:dyDescent="0.25">
      <c r="A134" s="1">
        <v>45874</v>
      </c>
      <c r="B134" t="s">
        <v>44</v>
      </c>
      <c r="C134" t="s">
        <v>37</v>
      </c>
      <c r="D134" t="s">
        <v>45</v>
      </c>
      <c r="E134" s="2">
        <v>1</v>
      </c>
      <c r="F134" s="3">
        <v>14726.84</v>
      </c>
      <c r="G134" s="3">
        <v>14726.84</v>
      </c>
      <c r="H134" s="3">
        <v>6117.77</v>
      </c>
      <c r="I134" s="3">
        <v>8609.07</v>
      </c>
      <c r="J134" t="s">
        <v>27</v>
      </c>
      <c r="K134" t="s">
        <v>23</v>
      </c>
    </row>
    <row r="135" spans="1:11" x14ac:dyDescent="0.25">
      <c r="A135" s="1">
        <v>45882</v>
      </c>
      <c r="B135" t="s">
        <v>50</v>
      </c>
      <c r="C135" t="s">
        <v>25</v>
      </c>
      <c r="D135" t="s">
        <v>26</v>
      </c>
      <c r="E135" s="2">
        <v>2</v>
      </c>
      <c r="F135" s="3">
        <v>10574</v>
      </c>
      <c r="G135" s="3">
        <v>21148</v>
      </c>
      <c r="H135" s="3">
        <v>13942.51</v>
      </c>
      <c r="I135" s="3">
        <v>7205.49</v>
      </c>
      <c r="J135" t="s">
        <v>14</v>
      </c>
      <c r="K135" t="s">
        <v>23</v>
      </c>
    </row>
    <row r="136" spans="1:11" x14ac:dyDescent="0.25">
      <c r="A136" s="1">
        <v>45883</v>
      </c>
      <c r="B136" t="s">
        <v>55</v>
      </c>
      <c r="C136" t="s">
        <v>37</v>
      </c>
      <c r="D136" t="s">
        <v>47</v>
      </c>
      <c r="E136" s="2">
        <v>1</v>
      </c>
      <c r="F136" s="3">
        <v>7780.45</v>
      </c>
      <c r="G136" s="3">
        <v>7780.45</v>
      </c>
      <c r="H136" s="3">
        <v>3474.47</v>
      </c>
      <c r="I136" s="3">
        <v>4305.9799999999996</v>
      </c>
      <c r="J136" t="s">
        <v>18</v>
      </c>
      <c r="K136" t="s">
        <v>15</v>
      </c>
    </row>
    <row r="137" spans="1:11" x14ac:dyDescent="0.25">
      <c r="A137" s="1">
        <v>45883</v>
      </c>
      <c r="B137" t="s">
        <v>42</v>
      </c>
      <c r="C137" t="s">
        <v>12</v>
      </c>
      <c r="D137" t="s">
        <v>48</v>
      </c>
      <c r="E137" s="2">
        <v>2</v>
      </c>
      <c r="F137" s="3">
        <v>17033.59</v>
      </c>
      <c r="G137" s="3">
        <v>34067.18</v>
      </c>
      <c r="H137" s="3">
        <v>19150.22</v>
      </c>
      <c r="I137" s="3">
        <v>14916.96</v>
      </c>
      <c r="J137" t="s">
        <v>14</v>
      </c>
      <c r="K137" t="s">
        <v>23</v>
      </c>
    </row>
    <row r="138" spans="1:11" x14ac:dyDescent="0.25">
      <c r="A138" s="1">
        <v>45884</v>
      </c>
      <c r="B138" t="s">
        <v>43</v>
      </c>
      <c r="C138" t="s">
        <v>21</v>
      </c>
      <c r="D138" t="s">
        <v>40</v>
      </c>
      <c r="E138" s="2">
        <v>1</v>
      </c>
      <c r="F138" s="3">
        <v>29502.51</v>
      </c>
      <c r="G138" s="3">
        <v>29502.51</v>
      </c>
      <c r="H138" s="3">
        <v>20244.419999999998</v>
      </c>
      <c r="I138" s="3">
        <v>9258.09</v>
      </c>
      <c r="J138" t="s">
        <v>32</v>
      </c>
      <c r="K138" t="s">
        <v>30</v>
      </c>
    </row>
    <row r="139" spans="1:11" x14ac:dyDescent="0.25">
      <c r="A139" s="1">
        <v>45889</v>
      </c>
      <c r="B139" t="s">
        <v>41</v>
      </c>
      <c r="C139" t="s">
        <v>12</v>
      </c>
      <c r="D139" t="s">
        <v>17</v>
      </c>
      <c r="E139" s="2">
        <v>2</v>
      </c>
      <c r="F139" s="3">
        <v>7154.16</v>
      </c>
      <c r="G139" s="3">
        <v>14308.32</v>
      </c>
      <c r="H139" s="3">
        <v>8133.82</v>
      </c>
      <c r="I139" s="3">
        <v>6174.5</v>
      </c>
      <c r="J139" t="s">
        <v>27</v>
      </c>
      <c r="K139" t="s">
        <v>46</v>
      </c>
    </row>
    <row r="140" spans="1:11" x14ac:dyDescent="0.25">
      <c r="A140" s="1">
        <v>45890</v>
      </c>
      <c r="B140" t="s">
        <v>50</v>
      </c>
      <c r="C140" t="s">
        <v>21</v>
      </c>
      <c r="D140" t="s">
        <v>40</v>
      </c>
      <c r="E140" s="2">
        <v>4</v>
      </c>
      <c r="F140" s="3">
        <v>56868.52</v>
      </c>
      <c r="G140" s="3">
        <v>227474.08</v>
      </c>
      <c r="H140" s="3">
        <v>171092.19</v>
      </c>
      <c r="I140" s="3">
        <v>56381.89</v>
      </c>
      <c r="J140" t="s">
        <v>14</v>
      </c>
      <c r="K140" t="s">
        <v>23</v>
      </c>
    </row>
    <row r="141" spans="1:11" x14ac:dyDescent="0.25">
      <c r="A141" s="1">
        <v>45893</v>
      </c>
      <c r="B141" t="s">
        <v>11</v>
      </c>
      <c r="C141" t="s">
        <v>25</v>
      </c>
      <c r="D141" t="s">
        <v>28</v>
      </c>
      <c r="E141" s="2">
        <v>3</v>
      </c>
      <c r="F141" s="3">
        <v>27042.85</v>
      </c>
      <c r="G141" s="3">
        <v>81128.55</v>
      </c>
      <c r="H141" s="3">
        <v>37176.25</v>
      </c>
      <c r="I141" s="3">
        <v>43952.3</v>
      </c>
      <c r="J141" t="s">
        <v>27</v>
      </c>
      <c r="K141" t="s">
        <v>15</v>
      </c>
    </row>
    <row r="142" spans="1:11" x14ac:dyDescent="0.25">
      <c r="A142" s="1">
        <v>45894</v>
      </c>
      <c r="B142" t="s">
        <v>39</v>
      </c>
      <c r="C142" t="s">
        <v>25</v>
      </c>
      <c r="D142" t="s">
        <v>28</v>
      </c>
      <c r="E142" s="2">
        <v>3</v>
      </c>
      <c r="F142" s="3">
        <v>13790.41</v>
      </c>
      <c r="G142" s="3">
        <v>41371.230000000003</v>
      </c>
      <c r="H142" s="3">
        <v>20663.14</v>
      </c>
      <c r="I142" s="3">
        <v>20708.09</v>
      </c>
      <c r="J142" t="s">
        <v>18</v>
      </c>
      <c r="K142" t="s">
        <v>23</v>
      </c>
    </row>
    <row r="143" spans="1:11" x14ac:dyDescent="0.25">
      <c r="A143" s="1">
        <v>45895</v>
      </c>
      <c r="B143" t="s">
        <v>42</v>
      </c>
      <c r="C143" t="s">
        <v>25</v>
      </c>
      <c r="D143" t="s">
        <v>31</v>
      </c>
      <c r="E143" s="2">
        <v>1</v>
      </c>
      <c r="F143" s="3">
        <v>18552.21</v>
      </c>
      <c r="G143" s="3">
        <v>18552.21</v>
      </c>
      <c r="H143" s="3">
        <v>10781.03</v>
      </c>
      <c r="I143" s="3">
        <v>7771.18</v>
      </c>
      <c r="J143" t="s">
        <v>27</v>
      </c>
      <c r="K143" t="s">
        <v>30</v>
      </c>
    </row>
    <row r="144" spans="1:11" x14ac:dyDescent="0.25">
      <c r="A144" s="1">
        <v>45900</v>
      </c>
      <c r="B144" t="s">
        <v>41</v>
      </c>
      <c r="C144" t="s">
        <v>12</v>
      </c>
      <c r="D144" t="s">
        <v>13</v>
      </c>
      <c r="E144" s="2">
        <v>1</v>
      </c>
      <c r="F144" s="3">
        <v>9024.56</v>
      </c>
      <c r="G144" s="3">
        <v>9024.56</v>
      </c>
      <c r="H144" s="3">
        <v>5124.17</v>
      </c>
      <c r="I144" s="3">
        <v>3900.39</v>
      </c>
      <c r="J144" t="s">
        <v>18</v>
      </c>
      <c r="K144" t="s">
        <v>19</v>
      </c>
    </row>
    <row r="145" spans="1:11" x14ac:dyDescent="0.25">
      <c r="A145" s="1">
        <v>45905</v>
      </c>
      <c r="B145" t="s">
        <v>24</v>
      </c>
      <c r="C145" t="s">
        <v>34</v>
      </c>
      <c r="D145" t="s">
        <v>35</v>
      </c>
      <c r="E145" s="2">
        <v>1</v>
      </c>
      <c r="F145" s="3">
        <v>5829.69</v>
      </c>
      <c r="G145" s="3">
        <v>5829.69</v>
      </c>
      <c r="H145" s="3">
        <v>5109.5200000000004</v>
      </c>
      <c r="I145" s="3">
        <v>720.17</v>
      </c>
      <c r="J145" t="s">
        <v>14</v>
      </c>
      <c r="K145" t="s">
        <v>23</v>
      </c>
    </row>
    <row r="146" spans="1:11" x14ac:dyDescent="0.25">
      <c r="A146" s="1">
        <v>45906</v>
      </c>
      <c r="B146" t="s">
        <v>50</v>
      </c>
      <c r="C146" t="s">
        <v>21</v>
      </c>
      <c r="D146" t="s">
        <v>54</v>
      </c>
      <c r="E146" s="2">
        <v>2</v>
      </c>
      <c r="F146" s="3">
        <v>6731.76</v>
      </c>
      <c r="G146" s="3">
        <v>13463.52</v>
      </c>
      <c r="H146" s="3">
        <v>10481.540000000001</v>
      </c>
      <c r="I146" s="3">
        <v>2981.98</v>
      </c>
      <c r="J146" t="s">
        <v>32</v>
      </c>
      <c r="K146" t="s">
        <v>19</v>
      </c>
    </row>
    <row r="147" spans="1:11" x14ac:dyDescent="0.25">
      <c r="A147" s="1">
        <v>45907</v>
      </c>
      <c r="B147" t="s">
        <v>33</v>
      </c>
      <c r="C147" t="s">
        <v>12</v>
      </c>
      <c r="D147" t="s">
        <v>13</v>
      </c>
      <c r="E147" s="2">
        <v>4</v>
      </c>
      <c r="F147" s="3">
        <v>10781.05</v>
      </c>
      <c r="G147" s="3">
        <v>43124.2</v>
      </c>
      <c r="H147" s="3">
        <v>23394.89</v>
      </c>
      <c r="I147" s="3">
        <v>19729.310000000001</v>
      </c>
      <c r="J147" t="s">
        <v>32</v>
      </c>
      <c r="K147" t="s">
        <v>19</v>
      </c>
    </row>
    <row r="148" spans="1:11" x14ac:dyDescent="0.25">
      <c r="A148" s="1">
        <v>45909</v>
      </c>
      <c r="B148" t="s">
        <v>44</v>
      </c>
      <c r="C148" t="s">
        <v>37</v>
      </c>
      <c r="D148" t="s">
        <v>38</v>
      </c>
      <c r="E148" s="2">
        <v>3</v>
      </c>
      <c r="F148" s="3">
        <v>5262.63</v>
      </c>
      <c r="G148" s="3">
        <v>15787.89</v>
      </c>
      <c r="H148" s="3">
        <v>5117.3500000000004</v>
      </c>
      <c r="I148" s="3">
        <v>10670.54</v>
      </c>
      <c r="J148" t="s">
        <v>14</v>
      </c>
      <c r="K148" t="s">
        <v>15</v>
      </c>
    </row>
    <row r="149" spans="1:11" x14ac:dyDescent="0.25">
      <c r="A149" s="1">
        <v>45910</v>
      </c>
      <c r="B149" t="s">
        <v>39</v>
      </c>
      <c r="C149" t="s">
        <v>25</v>
      </c>
      <c r="D149" t="s">
        <v>28</v>
      </c>
      <c r="E149" s="2">
        <v>2</v>
      </c>
      <c r="F149" s="3">
        <v>25636.95</v>
      </c>
      <c r="G149" s="3">
        <v>51273.9</v>
      </c>
      <c r="H149" s="3">
        <v>23817.17</v>
      </c>
      <c r="I149" s="3">
        <v>27456.73</v>
      </c>
      <c r="J149" t="s">
        <v>32</v>
      </c>
      <c r="K149" t="s">
        <v>19</v>
      </c>
    </row>
    <row r="150" spans="1:11" x14ac:dyDescent="0.25">
      <c r="A150" s="1">
        <v>45910</v>
      </c>
      <c r="B150" t="s">
        <v>51</v>
      </c>
      <c r="C150" t="s">
        <v>21</v>
      </c>
      <c r="D150" t="s">
        <v>22</v>
      </c>
      <c r="E150" s="2">
        <v>6</v>
      </c>
      <c r="F150" s="3">
        <v>11019.31</v>
      </c>
      <c r="G150" s="3">
        <v>66115.86</v>
      </c>
      <c r="H150" s="3">
        <v>49492.91</v>
      </c>
      <c r="I150" s="3">
        <v>16622.95</v>
      </c>
      <c r="J150" t="s">
        <v>29</v>
      </c>
      <c r="K150" t="s">
        <v>30</v>
      </c>
    </row>
    <row r="151" spans="1:11" x14ac:dyDescent="0.25">
      <c r="A151" s="1">
        <v>45912</v>
      </c>
      <c r="B151" t="s">
        <v>42</v>
      </c>
      <c r="C151" t="s">
        <v>21</v>
      </c>
      <c r="D151" t="s">
        <v>40</v>
      </c>
      <c r="E151" s="2">
        <v>4</v>
      </c>
      <c r="F151" s="3">
        <v>72852.62</v>
      </c>
      <c r="G151" s="3">
        <v>291410.48</v>
      </c>
      <c r="H151" s="3">
        <v>235927.95</v>
      </c>
      <c r="I151" s="3">
        <v>55482.53</v>
      </c>
      <c r="J151" t="s">
        <v>14</v>
      </c>
      <c r="K151" t="s">
        <v>15</v>
      </c>
    </row>
    <row r="152" spans="1:11" x14ac:dyDescent="0.25">
      <c r="A152" s="1">
        <v>45915</v>
      </c>
      <c r="B152" t="s">
        <v>39</v>
      </c>
      <c r="C152" t="s">
        <v>12</v>
      </c>
      <c r="D152" t="s">
        <v>13</v>
      </c>
      <c r="E152" s="2">
        <v>1</v>
      </c>
      <c r="F152" s="3">
        <v>9137.11</v>
      </c>
      <c r="G152" s="3">
        <v>9137.11</v>
      </c>
      <c r="H152" s="3">
        <v>4896.62</v>
      </c>
      <c r="I152" s="3">
        <v>4240.49</v>
      </c>
      <c r="J152" t="s">
        <v>14</v>
      </c>
      <c r="K152" t="s">
        <v>19</v>
      </c>
    </row>
    <row r="153" spans="1:11" x14ac:dyDescent="0.25">
      <c r="A153" s="1">
        <v>45915</v>
      </c>
      <c r="B153" t="s">
        <v>50</v>
      </c>
      <c r="C153" t="s">
        <v>21</v>
      </c>
      <c r="D153" t="s">
        <v>40</v>
      </c>
      <c r="E153" s="2">
        <v>3</v>
      </c>
      <c r="F153" s="3">
        <v>25506.69</v>
      </c>
      <c r="G153" s="3">
        <v>76520.070000000007</v>
      </c>
      <c r="H153" s="3">
        <v>59383.42</v>
      </c>
      <c r="I153" s="3">
        <v>17136.650000000001</v>
      </c>
      <c r="J153" t="s">
        <v>27</v>
      </c>
      <c r="K153" t="s">
        <v>19</v>
      </c>
    </row>
    <row r="154" spans="1:11" x14ac:dyDescent="0.25">
      <c r="A154" s="1">
        <v>45916</v>
      </c>
      <c r="B154" t="s">
        <v>53</v>
      </c>
      <c r="C154" t="s">
        <v>34</v>
      </c>
      <c r="D154" t="s">
        <v>35</v>
      </c>
      <c r="E154" s="2">
        <v>8</v>
      </c>
      <c r="F154" s="3">
        <v>2444.12</v>
      </c>
      <c r="G154" s="3">
        <v>19552.96</v>
      </c>
      <c r="H154" s="3">
        <v>14851.61</v>
      </c>
      <c r="I154" s="3">
        <v>4701.3500000000004</v>
      </c>
      <c r="J154" t="s">
        <v>29</v>
      </c>
      <c r="K154" t="s">
        <v>23</v>
      </c>
    </row>
    <row r="155" spans="1:11" x14ac:dyDescent="0.25">
      <c r="A155" s="1">
        <v>45916</v>
      </c>
      <c r="B155" t="s">
        <v>55</v>
      </c>
      <c r="C155" t="s">
        <v>34</v>
      </c>
      <c r="D155" t="s">
        <v>35</v>
      </c>
      <c r="E155" s="2">
        <v>1</v>
      </c>
      <c r="F155" s="3">
        <v>4233.58</v>
      </c>
      <c r="G155" s="3">
        <v>4233.58</v>
      </c>
      <c r="H155" s="3">
        <v>3270.36</v>
      </c>
      <c r="I155" s="3">
        <v>963.22</v>
      </c>
      <c r="J155" t="s">
        <v>29</v>
      </c>
      <c r="K155" t="s">
        <v>23</v>
      </c>
    </row>
    <row r="156" spans="1:11" x14ac:dyDescent="0.25">
      <c r="A156" s="1">
        <v>45916</v>
      </c>
      <c r="B156" t="s">
        <v>53</v>
      </c>
      <c r="C156" t="s">
        <v>37</v>
      </c>
      <c r="D156" t="s">
        <v>47</v>
      </c>
      <c r="E156" s="2">
        <v>1</v>
      </c>
      <c r="F156" s="3">
        <v>8912.25</v>
      </c>
      <c r="G156" s="3">
        <v>8912.25</v>
      </c>
      <c r="H156" s="3">
        <v>2404.5100000000002</v>
      </c>
      <c r="I156" s="3">
        <v>6507.74</v>
      </c>
      <c r="J156" t="s">
        <v>18</v>
      </c>
      <c r="K156" t="s">
        <v>46</v>
      </c>
    </row>
    <row r="157" spans="1:11" x14ac:dyDescent="0.25">
      <c r="A157" s="1">
        <v>45918</v>
      </c>
      <c r="B157" t="s">
        <v>44</v>
      </c>
      <c r="C157" t="s">
        <v>37</v>
      </c>
      <c r="D157" t="s">
        <v>38</v>
      </c>
      <c r="E157" s="2">
        <v>2</v>
      </c>
      <c r="F157" s="3">
        <v>4726.5600000000004</v>
      </c>
      <c r="G157" s="3">
        <v>9453.1200000000008</v>
      </c>
      <c r="H157" s="3">
        <v>4093.07</v>
      </c>
      <c r="I157" s="3">
        <v>5360.05</v>
      </c>
      <c r="J157" t="s">
        <v>32</v>
      </c>
      <c r="K157" t="s">
        <v>23</v>
      </c>
    </row>
    <row r="158" spans="1:11" x14ac:dyDescent="0.25">
      <c r="A158" s="1">
        <v>45918</v>
      </c>
      <c r="B158" t="s">
        <v>51</v>
      </c>
      <c r="C158" t="s">
        <v>34</v>
      </c>
      <c r="D158" t="s">
        <v>52</v>
      </c>
      <c r="E158" s="2">
        <v>11</v>
      </c>
      <c r="F158" s="3">
        <v>1717.25</v>
      </c>
      <c r="G158" s="3">
        <v>18889.75</v>
      </c>
      <c r="H158" s="3">
        <v>14938.24</v>
      </c>
      <c r="I158" s="3">
        <v>3951.51</v>
      </c>
      <c r="J158" t="s">
        <v>18</v>
      </c>
      <c r="K158" t="s">
        <v>19</v>
      </c>
    </row>
    <row r="159" spans="1:11" x14ac:dyDescent="0.25">
      <c r="A159" s="1">
        <v>45922</v>
      </c>
      <c r="B159" t="s">
        <v>42</v>
      </c>
      <c r="C159" t="s">
        <v>12</v>
      </c>
      <c r="D159" t="s">
        <v>48</v>
      </c>
      <c r="E159" s="2">
        <v>3</v>
      </c>
      <c r="F159" s="3">
        <v>34378.69</v>
      </c>
      <c r="G159" s="3">
        <v>103136.07</v>
      </c>
      <c r="H159" s="3">
        <v>62386.3</v>
      </c>
      <c r="I159" s="3">
        <v>40749.769999999997</v>
      </c>
      <c r="J159" t="s">
        <v>14</v>
      </c>
      <c r="K159" t="s">
        <v>46</v>
      </c>
    </row>
    <row r="160" spans="1:11" x14ac:dyDescent="0.25">
      <c r="A160" s="1">
        <v>45923</v>
      </c>
      <c r="B160" t="s">
        <v>39</v>
      </c>
      <c r="C160" t="s">
        <v>25</v>
      </c>
      <c r="D160" t="s">
        <v>28</v>
      </c>
      <c r="E160" s="2">
        <v>1</v>
      </c>
      <c r="F160" s="3">
        <v>26742.21</v>
      </c>
      <c r="G160" s="3">
        <v>26742.21</v>
      </c>
      <c r="H160" s="3">
        <v>13754.13</v>
      </c>
      <c r="I160" s="3">
        <v>12988.08</v>
      </c>
      <c r="J160" t="s">
        <v>32</v>
      </c>
      <c r="K160" t="s">
        <v>30</v>
      </c>
    </row>
    <row r="161" spans="1:11" x14ac:dyDescent="0.25">
      <c r="A161" s="1">
        <v>45923</v>
      </c>
      <c r="B161" t="s">
        <v>50</v>
      </c>
      <c r="C161" t="s">
        <v>21</v>
      </c>
      <c r="D161" t="s">
        <v>22</v>
      </c>
      <c r="E161" s="2">
        <v>3</v>
      </c>
      <c r="F161" s="3">
        <v>15214.9</v>
      </c>
      <c r="G161" s="3">
        <v>45644.7</v>
      </c>
      <c r="H161" s="3">
        <v>34289.480000000003</v>
      </c>
      <c r="I161" s="3">
        <v>11355.22</v>
      </c>
      <c r="J161" t="s">
        <v>14</v>
      </c>
      <c r="K161" t="s">
        <v>15</v>
      </c>
    </row>
    <row r="162" spans="1:11" x14ac:dyDescent="0.25">
      <c r="A162" s="1">
        <v>45925</v>
      </c>
      <c r="B162" t="s">
        <v>53</v>
      </c>
      <c r="C162" t="s">
        <v>37</v>
      </c>
      <c r="D162" t="s">
        <v>38</v>
      </c>
      <c r="E162" s="2">
        <v>1</v>
      </c>
      <c r="F162" s="3">
        <v>10950.08</v>
      </c>
      <c r="G162" s="3">
        <v>10950.08</v>
      </c>
      <c r="H162" s="3">
        <v>3625.75</v>
      </c>
      <c r="I162" s="3">
        <v>7324.33</v>
      </c>
      <c r="J162" t="s">
        <v>18</v>
      </c>
      <c r="K162" t="s">
        <v>15</v>
      </c>
    </row>
    <row r="163" spans="1:11" x14ac:dyDescent="0.25">
      <c r="A163" s="1">
        <v>45926</v>
      </c>
      <c r="B163" t="s">
        <v>53</v>
      </c>
      <c r="C163" t="s">
        <v>37</v>
      </c>
      <c r="D163" t="s">
        <v>45</v>
      </c>
      <c r="E163" s="2">
        <v>1</v>
      </c>
      <c r="F163" s="3">
        <v>18355.7</v>
      </c>
      <c r="G163" s="3">
        <v>18355.7</v>
      </c>
      <c r="H163" s="3">
        <v>6234.63</v>
      </c>
      <c r="I163" s="3">
        <v>12121.07</v>
      </c>
      <c r="J163" t="s">
        <v>14</v>
      </c>
      <c r="K163" t="s">
        <v>30</v>
      </c>
    </row>
    <row r="164" spans="1:11" x14ac:dyDescent="0.25">
      <c r="A164" s="1">
        <v>45929</v>
      </c>
      <c r="B164" t="s">
        <v>50</v>
      </c>
      <c r="C164" t="s">
        <v>25</v>
      </c>
      <c r="D164" t="s">
        <v>31</v>
      </c>
      <c r="E164" s="2">
        <v>4</v>
      </c>
      <c r="F164" s="3">
        <v>12441.7</v>
      </c>
      <c r="G164" s="3">
        <v>49766.8</v>
      </c>
      <c r="H164" s="3">
        <v>24254.52</v>
      </c>
      <c r="I164" s="3">
        <v>25512.28</v>
      </c>
      <c r="J164" t="s">
        <v>18</v>
      </c>
      <c r="K164" t="s">
        <v>46</v>
      </c>
    </row>
    <row r="165" spans="1:11" x14ac:dyDescent="0.25">
      <c r="A165" s="1">
        <v>45933</v>
      </c>
      <c r="B165" t="s">
        <v>24</v>
      </c>
      <c r="C165" t="s">
        <v>34</v>
      </c>
      <c r="D165" t="s">
        <v>49</v>
      </c>
      <c r="E165" s="2">
        <v>8</v>
      </c>
      <c r="F165" s="3">
        <v>1628.88</v>
      </c>
      <c r="G165" s="3">
        <v>13031.04</v>
      </c>
      <c r="H165" s="3">
        <v>10695.39</v>
      </c>
      <c r="I165" s="3">
        <v>2335.65</v>
      </c>
      <c r="J165" t="s">
        <v>14</v>
      </c>
      <c r="K165" t="s">
        <v>23</v>
      </c>
    </row>
    <row r="166" spans="1:11" x14ac:dyDescent="0.25">
      <c r="A166" s="1">
        <v>45933</v>
      </c>
      <c r="B166" t="s">
        <v>39</v>
      </c>
      <c r="C166" t="s">
        <v>25</v>
      </c>
      <c r="D166" t="s">
        <v>31</v>
      </c>
      <c r="E166" s="2">
        <v>3</v>
      </c>
      <c r="F166" s="3">
        <v>11576.15</v>
      </c>
      <c r="G166" s="3">
        <v>34728.449999999997</v>
      </c>
      <c r="H166" s="3">
        <v>17754.61</v>
      </c>
      <c r="I166" s="3">
        <v>16973.84</v>
      </c>
      <c r="J166" t="s">
        <v>29</v>
      </c>
      <c r="K166" t="s">
        <v>30</v>
      </c>
    </row>
    <row r="167" spans="1:11" x14ac:dyDescent="0.25">
      <c r="A167" s="1">
        <v>45937</v>
      </c>
      <c r="B167" t="s">
        <v>39</v>
      </c>
      <c r="C167" t="s">
        <v>37</v>
      </c>
      <c r="D167" t="s">
        <v>45</v>
      </c>
      <c r="E167" s="2">
        <v>1</v>
      </c>
      <c r="F167" s="3">
        <v>12102.3</v>
      </c>
      <c r="G167" s="3">
        <v>12102.3</v>
      </c>
      <c r="H167" s="3">
        <v>3499.65</v>
      </c>
      <c r="I167" s="3">
        <v>8602.65</v>
      </c>
      <c r="J167" t="s">
        <v>14</v>
      </c>
      <c r="K167" t="s">
        <v>15</v>
      </c>
    </row>
    <row r="168" spans="1:11" x14ac:dyDescent="0.25">
      <c r="A168" s="1">
        <v>45938</v>
      </c>
      <c r="B168" t="s">
        <v>16</v>
      </c>
      <c r="C168" t="s">
        <v>21</v>
      </c>
      <c r="D168" t="s">
        <v>40</v>
      </c>
      <c r="E168" s="2">
        <v>2</v>
      </c>
      <c r="F168" s="3">
        <v>55793.16</v>
      </c>
      <c r="G168" s="3">
        <v>111586.32</v>
      </c>
      <c r="H168" s="3">
        <v>86750.29</v>
      </c>
      <c r="I168" s="3">
        <v>24836.03</v>
      </c>
      <c r="J168" t="s">
        <v>32</v>
      </c>
      <c r="K168" t="s">
        <v>30</v>
      </c>
    </row>
    <row r="169" spans="1:11" x14ac:dyDescent="0.25">
      <c r="A169" s="1">
        <v>45940</v>
      </c>
      <c r="B169" t="s">
        <v>44</v>
      </c>
      <c r="C169" t="s">
        <v>25</v>
      </c>
      <c r="D169" t="s">
        <v>28</v>
      </c>
      <c r="E169" s="2">
        <v>2</v>
      </c>
      <c r="F169" s="3">
        <v>34225.5</v>
      </c>
      <c r="G169" s="3">
        <v>68451</v>
      </c>
      <c r="H169" s="3">
        <v>38256.519999999997</v>
      </c>
      <c r="I169" s="3">
        <v>30194.48</v>
      </c>
      <c r="J169" t="s">
        <v>32</v>
      </c>
      <c r="K169" t="s">
        <v>19</v>
      </c>
    </row>
    <row r="170" spans="1:11" x14ac:dyDescent="0.25">
      <c r="A170" s="1">
        <v>45940</v>
      </c>
      <c r="B170" t="s">
        <v>11</v>
      </c>
      <c r="C170" t="s">
        <v>25</v>
      </c>
      <c r="D170" t="s">
        <v>26</v>
      </c>
      <c r="E170" s="2">
        <v>2</v>
      </c>
      <c r="F170" s="3">
        <v>16303.86</v>
      </c>
      <c r="G170" s="3">
        <v>32607.72</v>
      </c>
      <c r="H170" s="3">
        <v>20133.47</v>
      </c>
      <c r="I170" s="3">
        <v>12474.25</v>
      </c>
      <c r="J170" t="s">
        <v>32</v>
      </c>
      <c r="K170" t="s">
        <v>23</v>
      </c>
    </row>
    <row r="171" spans="1:11" x14ac:dyDescent="0.25">
      <c r="A171" s="1">
        <v>45946</v>
      </c>
      <c r="B171" t="s">
        <v>44</v>
      </c>
      <c r="C171" t="s">
        <v>12</v>
      </c>
      <c r="D171" t="s">
        <v>48</v>
      </c>
      <c r="E171" s="2">
        <v>3</v>
      </c>
      <c r="F171" s="3">
        <v>26042.36</v>
      </c>
      <c r="G171" s="3">
        <v>78127.08</v>
      </c>
      <c r="H171" s="3">
        <v>45962.720000000001</v>
      </c>
      <c r="I171" s="3">
        <v>32164.36</v>
      </c>
      <c r="J171" t="s">
        <v>14</v>
      </c>
      <c r="K171" t="s">
        <v>23</v>
      </c>
    </row>
    <row r="172" spans="1:11" x14ac:dyDescent="0.25">
      <c r="A172" s="1">
        <v>45946</v>
      </c>
      <c r="B172" t="s">
        <v>39</v>
      </c>
      <c r="C172" t="s">
        <v>25</v>
      </c>
      <c r="D172" t="s">
        <v>31</v>
      </c>
      <c r="E172" s="2">
        <v>2</v>
      </c>
      <c r="F172" s="3">
        <v>15437.79</v>
      </c>
      <c r="G172" s="3">
        <v>30875.58</v>
      </c>
      <c r="H172" s="3">
        <v>15071.05</v>
      </c>
      <c r="I172" s="3">
        <v>15804.53</v>
      </c>
      <c r="J172" t="s">
        <v>29</v>
      </c>
      <c r="K172" t="s">
        <v>23</v>
      </c>
    </row>
    <row r="173" spans="1:11" x14ac:dyDescent="0.25">
      <c r="A173" s="1">
        <v>45948</v>
      </c>
      <c r="B173" t="s">
        <v>42</v>
      </c>
      <c r="C173" t="s">
        <v>12</v>
      </c>
      <c r="D173" t="s">
        <v>13</v>
      </c>
      <c r="E173" s="2">
        <v>4</v>
      </c>
      <c r="F173" s="3">
        <v>6917.33</v>
      </c>
      <c r="G173" s="3">
        <v>27669.32</v>
      </c>
      <c r="H173" s="3">
        <v>15334.54</v>
      </c>
      <c r="I173" s="3">
        <v>12334.78</v>
      </c>
      <c r="J173" t="s">
        <v>14</v>
      </c>
      <c r="K173" t="s">
        <v>46</v>
      </c>
    </row>
    <row r="174" spans="1:11" x14ac:dyDescent="0.25">
      <c r="A174" s="1">
        <v>45953</v>
      </c>
      <c r="B174" t="s">
        <v>41</v>
      </c>
      <c r="C174" t="s">
        <v>12</v>
      </c>
      <c r="D174" t="s">
        <v>13</v>
      </c>
      <c r="E174" s="2">
        <v>1</v>
      </c>
      <c r="F174" s="3">
        <v>10767.82</v>
      </c>
      <c r="G174" s="3">
        <v>10767.82</v>
      </c>
      <c r="H174" s="3">
        <v>6729.03</v>
      </c>
      <c r="I174" s="3">
        <v>4038.79</v>
      </c>
      <c r="J174" t="s">
        <v>27</v>
      </c>
      <c r="K174" t="s">
        <v>15</v>
      </c>
    </row>
    <row r="175" spans="1:11" x14ac:dyDescent="0.25">
      <c r="A175" s="1">
        <v>45955</v>
      </c>
      <c r="B175" t="s">
        <v>39</v>
      </c>
      <c r="C175" t="s">
        <v>37</v>
      </c>
      <c r="D175" t="s">
        <v>45</v>
      </c>
      <c r="E175" s="2">
        <v>1</v>
      </c>
      <c r="F175" s="3">
        <v>20332.39</v>
      </c>
      <c r="G175" s="3">
        <v>20332.39</v>
      </c>
      <c r="H175" s="3">
        <v>8264.18</v>
      </c>
      <c r="I175" s="3">
        <v>12068.21</v>
      </c>
      <c r="J175" t="s">
        <v>32</v>
      </c>
      <c r="K175" t="s">
        <v>46</v>
      </c>
    </row>
    <row r="176" spans="1:11" x14ac:dyDescent="0.25">
      <c r="A176" s="1">
        <v>45956</v>
      </c>
      <c r="B176" t="s">
        <v>51</v>
      </c>
      <c r="C176" t="s">
        <v>21</v>
      </c>
      <c r="D176" t="s">
        <v>40</v>
      </c>
      <c r="E176" s="2">
        <v>4</v>
      </c>
      <c r="F176" s="3">
        <v>25054.55</v>
      </c>
      <c r="G176" s="3">
        <v>100218.2</v>
      </c>
      <c r="H176" s="3">
        <v>74196.259999999995</v>
      </c>
      <c r="I176" s="3">
        <v>26021.94</v>
      </c>
      <c r="J176" t="s">
        <v>32</v>
      </c>
      <c r="K176" t="s">
        <v>30</v>
      </c>
    </row>
    <row r="177" spans="1:11" x14ac:dyDescent="0.25">
      <c r="A177" s="1">
        <v>45958</v>
      </c>
      <c r="B177" t="s">
        <v>11</v>
      </c>
      <c r="C177" t="s">
        <v>12</v>
      </c>
      <c r="D177" t="s">
        <v>48</v>
      </c>
      <c r="E177" s="2">
        <v>3</v>
      </c>
      <c r="F177" s="3">
        <v>14038.81</v>
      </c>
      <c r="G177" s="3">
        <v>42116.43</v>
      </c>
      <c r="H177" s="3">
        <v>25156.39</v>
      </c>
      <c r="I177" s="3">
        <v>16960.04</v>
      </c>
      <c r="J177" t="s">
        <v>14</v>
      </c>
      <c r="K177" t="s">
        <v>15</v>
      </c>
    </row>
    <row r="178" spans="1:11" x14ac:dyDescent="0.25">
      <c r="A178" s="1">
        <v>45966</v>
      </c>
      <c r="B178" t="s">
        <v>43</v>
      </c>
      <c r="C178" t="s">
        <v>21</v>
      </c>
      <c r="D178" t="s">
        <v>54</v>
      </c>
      <c r="E178" s="2">
        <v>2</v>
      </c>
      <c r="F178" s="3">
        <v>7419.77</v>
      </c>
      <c r="G178" s="3">
        <v>14839.54</v>
      </c>
      <c r="H178" s="3">
        <v>10618.53</v>
      </c>
      <c r="I178" s="3">
        <v>4221.01</v>
      </c>
      <c r="J178" t="s">
        <v>14</v>
      </c>
      <c r="K178" t="s">
        <v>15</v>
      </c>
    </row>
    <row r="179" spans="1:11" x14ac:dyDescent="0.25">
      <c r="A179" s="1">
        <v>45966</v>
      </c>
      <c r="B179" t="s">
        <v>11</v>
      </c>
      <c r="C179" t="s">
        <v>12</v>
      </c>
      <c r="D179" t="s">
        <v>48</v>
      </c>
      <c r="E179" s="2">
        <v>1</v>
      </c>
      <c r="F179" s="3">
        <v>27025.96</v>
      </c>
      <c r="G179" s="3">
        <v>27025.96</v>
      </c>
      <c r="H179" s="3">
        <v>14047.74</v>
      </c>
      <c r="I179" s="3">
        <v>12978.22</v>
      </c>
      <c r="J179" t="s">
        <v>27</v>
      </c>
      <c r="K179" t="s">
        <v>15</v>
      </c>
    </row>
    <row r="180" spans="1:11" x14ac:dyDescent="0.25">
      <c r="A180" s="1">
        <v>45967</v>
      </c>
      <c r="B180" t="s">
        <v>39</v>
      </c>
      <c r="C180" t="s">
        <v>25</v>
      </c>
      <c r="D180" t="s">
        <v>31</v>
      </c>
      <c r="E180" s="2">
        <v>1</v>
      </c>
      <c r="F180" s="3">
        <v>27180.18</v>
      </c>
      <c r="G180" s="3">
        <v>27180.18</v>
      </c>
      <c r="H180" s="3">
        <v>14924.01</v>
      </c>
      <c r="I180" s="3">
        <v>12256.17</v>
      </c>
      <c r="J180" t="s">
        <v>27</v>
      </c>
      <c r="K180" t="s">
        <v>19</v>
      </c>
    </row>
    <row r="181" spans="1:11" x14ac:dyDescent="0.25">
      <c r="A181" s="1">
        <v>45970</v>
      </c>
      <c r="B181" t="s">
        <v>41</v>
      </c>
      <c r="C181" t="s">
        <v>25</v>
      </c>
      <c r="D181" t="s">
        <v>28</v>
      </c>
      <c r="E181" s="2">
        <v>1</v>
      </c>
      <c r="F181" s="3">
        <v>31159.46</v>
      </c>
      <c r="G181" s="3">
        <v>31159.46</v>
      </c>
      <c r="H181" s="3">
        <v>20151.14</v>
      </c>
      <c r="I181" s="3">
        <v>11008.32</v>
      </c>
      <c r="J181" t="s">
        <v>14</v>
      </c>
      <c r="K181" t="s">
        <v>30</v>
      </c>
    </row>
    <row r="182" spans="1:11" x14ac:dyDescent="0.25">
      <c r="A182" s="1">
        <v>45975</v>
      </c>
      <c r="B182" t="s">
        <v>50</v>
      </c>
      <c r="C182" t="s">
        <v>25</v>
      </c>
      <c r="D182" t="s">
        <v>31</v>
      </c>
      <c r="E182" s="2">
        <v>2</v>
      </c>
      <c r="F182" s="3">
        <v>24291.03</v>
      </c>
      <c r="G182" s="3">
        <v>48582.06</v>
      </c>
      <c r="H182" s="3">
        <v>30629.15</v>
      </c>
      <c r="I182" s="3">
        <v>17952.91</v>
      </c>
      <c r="J182" t="s">
        <v>18</v>
      </c>
      <c r="K182" t="s">
        <v>19</v>
      </c>
    </row>
    <row r="183" spans="1:11" x14ac:dyDescent="0.25">
      <c r="A183" s="1">
        <v>45975</v>
      </c>
      <c r="B183" t="s">
        <v>11</v>
      </c>
      <c r="C183" t="s">
        <v>25</v>
      </c>
      <c r="D183" t="s">
        <v>28</v>
      </c>
      <c r="E183" s="2">
        <v>1</v>
      </c>
      <c r="F183" s="3">
        <v>24771.1</v>
      </c>
      <c r="G183" s="3">
        <v>24771.1</v>
      </c>
      <c r="H183" s="3">
        <v>15672.33</v>
      </c>
      <c r="I183" s="3">
        <v>9098.77</v>
      </c>
      <c r="J183" t="s">
        <v>32</v>
      </c>
      <c r="K183" t="s">
        <v>19</v>
      </c>
    </row>
    <row r="184" spans="1:11" x14ac:dyDescent="0.25">
      <c r="A184" s="1">
        <v>45976</v>
      </c>
      <c r="B184" t="s">
        <v>55</v>
      </c>
      <c r="C184" t="s">
        <v>34</v>
      </c>
      <c r="D184" t="s">
        <v>49</v>
      </c>
      <c r="E184" s="2">
        <v>2</v>
      </c>
      <c r="F184" s="3">
        <v>2386.9699999999998</v>
      </c>
      <c r="G184" s="3">
        <v>4773.9399999999996</v>
      </c>
      <c r="H184" s="3">
        <v>4018.99</v>
      </c>
      <c r="I184" s="3">
        <v>754.95</v>
      </c>
      <c r="J184" t="s">
        <v>32</v>
      </c>
      <c r="K184" t="s">
        <v>15</v>
      </c>
    </row>
    <row r="185" spans="1:11" x14ac:dyDescent="0.25">
      <c r="A185" s="1">
        <v>45977</v>
      </c>
      <c r="B185" t="s">
        <v>50</v>
      </c>
      <c r="C185" t="s">
        <v>25</v>
      </c>
      <c r="D185" t="s">
        <v>31</v>
      </c>
      <c r="E185" s="2">
        <v>1</v>
      </c>
      <c r="F185" s="3">
        <v>6548.52</v>
      </c>
      <c r="G185" s="3">
        <v>6548.52</v>
      </c>
      <c r="H185" s="3">
        <v>3771.98</v>
      </c>
      <c r="I185" s="3">
        <v>2776.54</v>
      </c>
      <c r="J185" t="s">
        <v>18</v>
      </c>
      <c r="K185" t="s">
        <v>23</v>
      </c>
    </row>
    <row r="186" spans="1:11" x14ac:dyDescent="0.25">
      <c r="A186" s="1">
        <v>45977</v>
      </c>
      <c r="B186" t="s">
        <v>44</v>
      </c>
      <c r="C186" t="s">
        <v>25</v>
      </c>
      <c r="D186" t="s">
        <v>31</v>
      </c>
      <c r="E186" s="2">
        <v>3</v>
      </c>
      <c r="F186" s="3">
        <v>20184.63</v>
      </c>
      <c r="G186" s="3">
        <v>60553.89</v>
      </c>
      <c r="H186" s="3">
        <v>31351.360000000001</v>
      </c>
      <c r="I186" s="3">
        <v>29202.53</v>
      </c>
      <c r="J186" t="s">
        <v>14</v>
      </c>
      <c r="K186" t="s">
        <v>19</v>
      </c>
    </row>
    <row r="187" spans="1:11" x14ac:dyDescent="0.25">
      <c r="A187" s="1">
        <v>45979</v>
      </c>
      <c r="B187" t="s">
        <v>11</v>
      </c>
      <c r="C187" t="s">
        <v>12</v>
      </c>
      <c r="D187" t="s">
        <v>48</v>
      </c>
      <c r="E187" s="2">
        <v>2</v>
      </c>
      <c r="F187" s="3">
        <v>38078.92</v>
      </c>
      <c r="G187" s="3">
        <v>76157.84</v>
      </c>
      <c r="H187" s="3">
        <v>39917.120000000003</v>
      </c>
      <c r="I187" s="3">
        <v>36240.720000000001</v>
      </c>
      <c r="J187" t="s">
        <v>14</v>
      </c>
      <c r="K187" t="s">
        <v>15</v>
      </c>
    </row>
    <row r="188" spans="1:11" x14ac:dyDescent="0.25">
      <c r="A188" s="1">
        <v>45980</v>
      </c>
      <c r="B188" t="s">
        <v>39</v>
      </c>
      <c r="C188" t="s">
        <v>25</v>
      </c>
      <c r="D188" t="s">
        <v>28</v>
      </c>
      <c r="E188" s="2">
        <v>2</v>
      </c>
      <c r="F188" s="3">
        <v>30131.08</v>
      </c>
      <c r="G188" s="3">
        <v>60262.16</v>
      </c>
      <c r="H188" s="3">
        <v>29340</v>
      </c>
      <c r="I188" s="3">
        <v>30922.16</v>
      </c>
      <c r="J188" t="s">
        <v>14</v>
      </c>
      <c r="K188" t="s">
        <v>19</v>
      </c>
    </row>
    <row r="189" spans="1:11" x14ac:dyDescent="0.25">
      <c r="A189" s="1">
        <v>45980</v>
      </c>
      <c r="B189" t="s">
        <v>33</v>
      </c>
      <c r="C189" t="s">
        <v>21</v>
      </c>
      <c r="D189" t="s">
        <v>54</v>
      </c>
      <c r="E189" s="2">
        <v>6</v>
      </c>
      <c r="F189" s="3">
        <v>5100.04</v>
      </c>
      <c r="G189" s="3">
        <v>30600.240000000002</v>
      </c>
      <c r="H189" s="3">
        <v>23400.03</v>
      </c>
      <c r="I189" s="3">
        <v>7200.21</v>
      </c>
      <c r="J189" t="s">
        <v>32</v>
      </c>
      <c r="K189" t="s">
        <v>19</v>
      </c>
    </row>
    <row r="190" spans="1:11" x14ac:dyDescent="0.25">
      <c r="A190" s="1">
        <v>45994</v>
      </c>
      <c r="B190" t="s">
        <v>16</v>
      </c>
      <c r="C190" t="s">
        <v>12</v>
      </c>
      <c r="D190" t="s">
        <v>17</v>
      </c>
      <c r="E190" s="2">
        <v>4</v>
      </c>
      <c r="F190" s="3">
        <v>7189.15</v>
      </c>
      <c r="G190" s="3">
        <v>28756.6</v>
      </c>
      <c r="H190" s="3">
        <v>15750.11</v>
      </c>
      <c r="I190" s="3">
        <v>13006.49</v>
      </c>
      <c r="J190" t="s">
        <v>29</v>
      </c>
      <c r="K190" t="s">
        <v>46</v>
      </c>
    </row>
    <row r="191" spans="1:11" x14ac:dyDescent="0.25">
      <c r="A191" s="1">
        <v>45995</v>
      </c>
      <c r="B191" t="s">
        <v>36</v>
      </c>
      <c r="C191" t="s">
        <v>25</v>
      </c>
      <c r="D191" t="s">
        <v>26</v>
      </c>
      <c r="E191" s="2">
        <v>2</v>
      </c>
      <c r="F191" s="3">
        <v>27990.09</v>
      </c>
      <c r="G191" s="3">
        <v>55980.18</v>
      </c>
      <c r="H191" s="3">
        <v>29122.85</v>
      </c>
      <c r="I191" s="3">
        <v>26857.33</v>
      </c>
      <c r="J191" t="s">
        <v>32</v>
      </c>
      <c r="K191" t="s">
        <v>30</v>
      </c>
    </row>
    <row r="192" spans="1:11" x14ac:dyDescent="0.25">
      <c r="A192" s="1">
        <v>45996</v>
      </c>
      <c r="B192" t="s">
        <v>20</v>
      </c>
      <c r="C192" t="s">
        <v>37</v>
      </c>
      <c r="D192" t="s">
        <v>38</v>
      </c>
      <c r="E192" s="2">
        <v>3</v>
      </c>
      <c r="F192" s="3">
        <v>10827.3</v>
      </c>
      <c r="G192" s="3">
        <v>32481.9</v>
      </c>
      <c r="H192" s="3">
        <v>15423.64</v>
      </c>
      <c r="I192" s="3">
        <v>17058.259999999998</v>
      </c>
      <c r="J192" t="s">
        <v>32</v>
      </c>
      <c r="K192" t="s">
        <v>30</v>
      </c>
    </row>
    <row r="193" spans="1:11" x14ac:dyDescent="0.25">
      <c r="A193" s="1">
        <v>45999</v>
      </c>
      <c r="B193" t="s">
        <v>39</v>
      </c>
      <c r="C193" t="s">
        <v>12</v>
      </c>
      <c r="D193" t="s">
        <v>17</v>
      </c>
      <c r="E193" s="2">
        <v>5</v>
      </c>
      <c r="F193" s="3">
        <v>4941.6499999999996</v>
      </c>
      <c r="G193" s="3">
        <v>24708.25</v>
      </c>
      <c r="H193" s="3">
        <v>15345.2</v>
      </c>
      <c r="I193" s="3">
        <v>9363.0499999999993</v>
      </c>
      <c r="J193" t="s">
        <v>32</v>
      </c>
      <c r="K193" t="s">
        <v>46</v>
      </c>
    </row>
    <row r="194" spans="1:11" x14ac:dyDescent="0.25">
      <c r="A194" s="1">
        <v>46006</v>
      </c>
      <c r="B194" t="s">
        <v>39</v>
      </c>
      <c r="C194" t="s">
        <v>12</v>
      </c>
      <c r="D194" t="s">
        <v>48</v>
      </c>
      <c r="E194" s="2">
        <v>2</v>
      </c>
      <c r="F194" s="3">
        <v>35321.85</v>
      </c>
      <c r="G194" s="3">
        <v>70643.7</v>
      </c>
      <c r="H194" s="3">
        <v>36466.9</v>
      </c>
      <c r="I194" s="3">
        <v>34176.800000000003</v>
      </c>
      <c r="J194" t="s">
        <v>32</v>
      </c>
      <c r="K194" t="s">
        <v>30</v>
      </c>
    </row>
    <row r="195" spans="1:11" x14ac:dyDescent="0.25">
      <c r="A195" s="1">
        <v>46006</v>
      </c>
      <c r="B195" t="s">
        <v>11</v>
      </c>
      <c r="C195" t="s">
        <v>12</v>
      </c>
      <c r="D195" t="s">
        <v>17</v>
      </c>
      <c r="E195" s="2">
        <v>3</v>
      </c>
      <c r="F195" s="3">
        <v>7493.16</v>
      </c>
      <c r="G195" s="3">
        <v>22479.48</v>
      </c>
      <c r="H195" s="3">
        <v>13696.85</v>
      </c>
      <c r="I195" s="3">
        <v>8782.6299999999992</v>
      </c>
      <c r="J195" t="s">
        <v>18</v>
      </c>
      <c r="K195" t="s">
        <v>15</v>
      </c>
    </row>
    <row r="196" spans="1:11" x14ac:dyDescent="0.25">
      <c r="A196" s="1">
        <v>46008</v>
      </c>
      <c r="B196" t="s">
        <v>24</v>
      </c>
      <c r="C196" t="s">
        <v>34</v>
      </c>
      <c r="D196" t="s">
        <v>52</v>
      </c>
      <c r="E196" s="2">
        <v>6</v>
      </c>
      <c r="F196" s="3">
        <v>2079.66</v>
      </c>
      <c r="G196" s="3">
        <v>12477.96</v>
      </c>
      <c r="H196" s="3">
        <v>10192.85</v>
      </c>
      <c r="I196" s="3">
        <v>2285.11</v>
      </c>
      <c r="J196" t="s">
        <v>14</v>
      </c>
      <c r="K196" t="s">
        <v>23</v>
      </c>
    </row>
    <row r="197" spans="1:11" x14ac:dyDescent="0.25">
      <c r="A197" s="1">
        <v>46008</v>
      </c>
      <c r="B197" t="s">
        <v>24</v>
      </c>
      <c r="C197" t="s">
        <v>34</v>
      </c>
      <c r="D197" t="s">
        <v>52</v>
      </c>
      <c r="E197" s="2">
        <v>6</v>
      </c>
      <c r="F197" s="3">
        <v>3033.43</v>
      </c>
      <c r="G197" s="3">
        <v>18200.580000000002</v>
      </c>
      <c r="H197" s="3">
        <v>13928.07</v>
      </c>
      <c r="I197" s="3">
        <v>4272.51</v>
      </c>
      <c r="J197" t="s">
        <v>32</v>
      </c>
      <c r="K197" t="s">
        <v>30</v>
      </c>
    </row>
    <row r="198" spans="1:11" x14ac:dyDescent="0.25">
      <c r="A198" s="1">
        <v>46015</v>
      </c>
      <c r="B198" t="s">
        <v>50</v>
      </c>
      <c r="C198" t="s">
        <v>25</v>
      </c>
      <c r="D198" t="s">
        <v>28</v>
      </c>
      <c r="E198" s="2">
        <v>1</v>
      </c>
      <c r="F198" s="3">
        <v>13063.17</v>
      </c>
      <c r="G198" s="3">
        <v>13063.17</v>
      </c>
      <c r="H198" s="3">
        <v>7603.28</v>
      </c>
      <c r="I198" s="3">
        <v>5459.89</v>
      </c>
      <c r="J198" t="s">
        <v>29</v>
      </c>
      <c r="K198" t="s">
        <v>19</v>
      </c>
    </row>
    <row r="199" spans="1:11" x14ac:dyDescent="0.25">
      <c r="A199" s="1">
        <v>46017</v>
      </c>
      <c r="B199" t="s">
        <v>42</v>
      </c>
      <c r="C199" t="s">
        <v>21</v>
      </c>
      <c r="D199" t="s">
        <v>54</v>
      </c>
      <c r="E199" s="2">
        <v>6</v>
      </c>
      <c r="F199" s="3">
        <v>13811.03</v>
      </c>
      <c r="G199" s="3">
        <v>82866.179999999993</v>
      </c>
      <c r="H199" s="3">
        <v>64096.79</v>
      </c>
      <c r="I199" s="3">
        <v>18769.39</v>
      </c>
      <c r="J199" t="s">
        <v>18</v>
      </c>
      <c r="K199" t="s">
        <v>30</v>
      </c>
    </row>
    <row r="200" spans="1:11" x14ac:dyDescent="0.25">
      <c r="A200" s="1">
        <v>46018</v>
      </c>
      <c r="B200" t="s">
        <v>39</v>
      </c>
      <c r="C200" t="s">
        <v>25</v>
      </c>
      <c r="D200" t="s">
        <v>26</v>
      </c>
      <c r="E200" s="2">
        <v>1</v>
      </c>
      <c r="F200" s="3">
        <v>25033.89</v>
      </c>
      <c r="G200" s="3">
        <v>25033.89</v>
      </c>
      <c r="H200" s="3">
        <v>15524.56</v>
      </c>
      <c r="I200" s="3">
        <v>9509.33</v>
      </c>
      <c r="J200" t="s">
        <v>14</v>
      </c>
      <c r="K200" t="s">
        <v>23</v>
      </c>
    </row>
    <row r="201" spans="1:11" x14ac:dyDescent="0.25">
      <c r="A201" s="1">
        <v>46021</v>
      </c>
      <c r="B201" t="s">
        <v>50</v>
      </c>
      <c r="C201" t="s">
        <v>34</v>
      </c>
      <c r="D201" t="s">
        <v>49</v>
      </c>
      <c r="E201" s="2">
        <v>10</v>
      </c>
      <c r="F201" s="3">
        <v>2290.34</v>
      </c>
      <c r="G201" s="3">
        <v>22903.4</v>
      </c>
      <c r="H201" s="3">
        <v>19542.419999999998</v>
      </c>
      <c r="I201" s="3">
        <v>3360.98</v>
      </c>
      <c r="J201" t="s">
        <v>27</v>
      </c>
      <c r="K201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B592-93D9-4137-8160-4CC110D5BA15}">
  <dimension ref="A1:S201"/>
  <sheetViews>
    <sheetView tabSelected="1" workbookViewId="0">
      <pane ySplit="1" topLeftCell="A43" activePane="bottomLeft" state="frozen"/>
      <selection pane="bottomLeft" activeCell="G17" sqref="G17"/>
    </sheetView>
  </sheetViews>
  <sheetFormatPr defaultRowHeight="15" x14ac:dyDescent="0.25"/>
  <cols>
    <col min="1" max="1" width="14" customWidth="1"/>
    <col min="2" max="2" width="24" customWidth="1"/>
    <col min="3" max="3" width="16" customWidth="1"/>
    <col min="4" max="4" width="24" customWidth="1"/>
    <col min="5" max="5" width="12" customWidth="1"/>
    <col min="6" max="8" width="14" customWidth="1"/>
    <col min="9" max="9" width="14.140625" customWidth="1"/>
    <col min="10" max="11" width="14" customWidth="1"/>
    <col min="12" max="12" width="19" customWidth="1"/>
    <col min="13" max="13" width="22.7109375" customWidth="1"/>
    <col min="14" max="14" width="20.7109375" customWidth="1"/>
    <col min="16" max="16" width="12.28515625" customWidth="1"/>
    <col min="18" max="18" width="22.7109375" style="4" customWidth="1"/>
    <col min="19" max="19" width="18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s="4" t="s">
        <v>62</v>
      </c>
      <c r="S1" t="s">
        <v>63</v>
      </c>
    </row>
    <row r="2" spans="1:19" x14ac:dyDescent="0.25">
      <c r="A2" s="1">
        <v>45659</v>
      </c>
      <c r="B2" t="s">
        <v>11</v>
      </c>
      <c r="C2" t="s">
        <v>12</v>
      </c>
      <c r="D2" t="s">
        <v>13</v>
      </c>
      <c r="E2" s="2">
        <v>3</v>
      </c>
      <c r="F2" s="3">
        <v>6310.17</v>
      </c>
      <c r="G2" s="3">
        <v>18930.509999999998</v>
      </c>
      <c r="H2" s="3">
        <v>11744.79</v>
      </c>
      <c r="I2" s="3">
        <v>7185.72</v>
      </c>
      <c r="J2" t="s">
        <v>14</v>
      </c>
      <c r="K2" t="s">
        <v>15</v>
      </c>
      <c r="L2">
        <f>tblRawBusinessData3[[#This Row],[Quantity]]*tblRawBusinessData3[[#This Row],[Unit_Price]]-tblRawBusinessData3[[#This Row],[Revenue]]</f>
        <v>0</v>
      </c>
      <c r="M2" s="3">
        <f t="shared" ref="M2:M33" si="0">G2-H2-I2</f>
        <v>0</v>
      </c>
      <c r="N2" t="str">
        <f t="shared" ref="N2:N33" si="1">IF(H2&lt;G2,"Valid","Check")</f>
        <v>Valid</v>
      </c>
      <c r="O2" t="str">
        <f t="shared" ref="O2:O33" si="2">TEXT(A2,"mmm")</f>
        <v>Jan</v>
      </c>
      <c r="P2" t="str">
        <f t="shared" ref="P2:P33" si="3">"Q"&amp;ROUNDUP(MONTH(A2)/3,0)</f>
        <v>Q1</v>
      </c>
      <c r="Q2">
        <f t="shared" ref="Q2:Q33" si="4">YEAR(A2)</f>
        <v>2025</v>
      </c>
      <c r="R2" s="4">
        <f t="shared" ref="R2:R33" si="5">I2/G2</f>
        <v>0.37958406825806601</v>
      </c>
      <c r="S2" t="str">
        <f t="shared" ref="S2:S33" si="6">IF(G2&lt;10000,"Small",IF(G2&lt;30000,"Medium","Large"))</f>
        <v>Medium</v>
      </c>
    </row>
    <row r="3" spans="1:19" x14ac:dyDescent="0.25">
      <c r="A3" s="1">
        <v>45660</v>
      </c>
      <c r="B3" t="s">
        <v>16</v>
      </c>
      <c r="C3" t="s">
        <v>12</v>
      </c>
      <c r="D3" t="s">
        <v>17</v>
      </c>
      <c r="E3" s="2">
        <v>3</v>
      </c>
      <c r="F3" s="3">
        <v>4014.39</v>
      </c>
      <c r="G3" s="3">
        <v>12043.17</v>
      </c>
      <c r="H3" s="3">
        <v>6272.88</v>
      </c>
      <c r="I3" s="3">
        <v>5770.29</v>
      </c>
      <c r="J3" t="s">
        <v>18</v>
      </c>
      <c r="K3" t="s">
        <v>19</v>
      </c>
      <c r="L3">
        <f>tblRawBusinessData3[[#This Row],[Quantity]]*tblRawBusinessData3[[#This Row],[Unit_Price]]-tblRawBusinessData3[[#This Row],[Revenue]]</f>
        <v>0</v>
      </c>
      <c r="M3" s="3">
        <f t="shared" si="0"/>
        <v>0</v>
      </c>
      <c r="N3" s="3" t="str">
        <f t="shared" si="1"/>
        <v>Valid</v>
      </c>
      <c r="O3" s="3" t="str">
        <f t="shared" si="2"/>
        <v>Jan</v>
      </c>
      <c r="P3" s="3" t="str">
        <f t="shared" si="3"/>
        <v>Q1</v>
      </c>
      <c r="Q3">
        <f t="shared" si="4"/>
        <v>2025</v>
      </c>
      <c r="R3" s="4">
        <f t="shared" si="5"/>
        <v>0.4791338160965925</v>
      </c>
      <c r="S3" s="3" t="str">
        <f t="shared" si="6"/>
        <v>Medium</v>
      </c>
    </row>
    <row r="4" spans="1:19" x14ac:dyDescent="0.25">
      <c r="A4" s="1">
        <v>45667</v>
      </c>
      <c r="B4" t="s">
        <v>20</v>
      </c>
      <c r="C4" t="s">
        <v>21</v>
      </c>
      <c r="D4" t="s">
        <v>22</v>
      </c>
      <c r="E4" s="2">
        <v>7</v>
      </c>
      <c r="F4" s="3">
        <v>9854.83</v>
      </c>
      <c r="G4" s="3">
        <v>68983.81</v>
      </c>
      <c r="H4" s="3">
        <v>53814.41</v>
      </c>
      <c r="I4" s="3">
        <v>15169.4</v>
      </c>
      <c r="J4" t="s">
        <v>14</v>
      </c>
      <c r="K4" t="s">
        <v>23</v>
      </c>
      <c r="L4">
        <f>tblRawBusinessData3[[#This Row],[Quantity]]*tblRawBusinessData3[[#This Row],[Unit_Price]]-tblRawBusinessData3[[#This Row],[Revenue]]</f>
        <v>0</v>
      </c>
      <c r="M4" s="3">
        <f t="shared" si="0"/>
        <v>0</v>
      </c>
      <c r="N4" s="3" t="str">
        <f t="shared" si="1"/>
        <v>Valid</v>
      </c>
      <c r="O4" s="3" t="str">
        <f t="shared" si="2"/>
        <v>Jan</v>
      </c>
      <c r="P4" s="3" t="str">
        <f t="shared" si="3"/>
        <v>Q1</v>
      </c>
      <c r="Q4">
        <f t="shared" si="4"/>
        <v>2025</v>
      </c>
      <c r="R4" s="4">
        <f t="shared" si="5"/>
        <v>0.21989797316210863</v>
      </c>
      <c r="S4" s="3" t="str">
        <f t="shared" si="6"/>
        <v>Large</v>
      </c>
    </row>
    <row r="5" spans="1:19" x14ac:dyDescent="0.25">
      <c r="A5" s="1">
        <v>45669</v>
      </c>
      <c r="B5" t="s">
        <v>24</v>
      </c>
      <c r="C5" t="s">
        <v>25</v>
      </c>
      <c r="D5" t="s">
        <v>26</v>
      </c>
      <c r="E5" s="2">
        <v>1</v>
      </c>
      <c r="F5" s="3">
        <v>18595.73</v>
      </c>
      <c r="G5" s="3">
        <v>18595.73</v>
      </c>
      <c r="H5" s="3">
        <v>9420.57</v>
      </c>
      <c r="I5" s="3">
        <v>9175.16</v>
      </c>
      <c r="J5" t="s">
        <v>27</v>
      </c>
      <c r="K5" t="s">
        <v>19</v>
      </c>
      <c r="L5">
        <f>tblRawBusinessData3[[#This Row],[Quantity]]*tblRawBusinessData3[[#This Row],[Unit_Price]]-tblRawBusinessData3[[#This Row],[Revenue]]</f>
        <v>0</v>
      </c>
      <c r="M5" s="3">
        <f t="shared" si="0"/>
        <v>0</v>
      </c>
      <c r="N5" s="3" t="str">
        <f t="shared" si="1"/>
        <v>Valid</v>
      </c>
      <c r="O5" s="3" t="str">
        <f t="shared" si="2"/>
        <v>Jan</v>
      </c>
      <c r="P5" s="3" t="str">
        <f t="shared" si="3"/>
        <v>Q1</v>
      </c>
      <c r="Q5">
        <f t="shared" si="4"/>
        <v>2025</v>
      </c>
      <c r="R5" s="4">
        <f t="shared" si="5"/>
        <v>0.49340144215903331</v>
      </c>
      <c r="S5" s="3" t="str">
        <f t="shared" si="6"/>
        <v>Medium</v>
      </c>
    </row>
    <row r="6" spans="1:19" x14ac:dyDescent="0.25">
      <c r="A6" s="1">
        <v>45670</v>
      </c>
      <c r="B6" t="s">
        <v>11</v>
      </c>
      <c r="C6" t="s">
        <v>25</v>
      </c>
      <c r="D6" t="s">
        <v>28</v>
      </c>
      <c r="E6" s="2">
        <v>1</v>
      </c>
      <c r="F6" s="3">
        <v>28615.54</v>
      </c>
      <c r="G6" s="3">
        <v>28615.54</v>
      </c>
      <c r="H6" s="3">
        <v>14763.47</v>
      </c>
      <c r="I6" s="3">
        <v>13852.07</v>
      </c>
      <c r="J6" t="s">
        <v>29</v>
      </c>
      <c r="K6" t="s">
        <v>30</v>
      </c>
      <c r="L6">
        <f>tblRawBusinessData3[[#This Row],[Quantity]]*tblRawBusinessData3[[#This Row],[Unit_Price]]-tblRawBusinessData3[[#This Row],[Revenue]]</f>
        <v>0</v>
      </c>
      <c r="M6" s="3">
        <f t="shared" si="0"/>
        <v>0</v>
      </c>
      <c r="N6" s="3" t="str">
        <f t="shared" si="1"/>
        <v>Valid</v>
      </c>
      <c r="O6" s="3" t="str">
        <f t="shared" si="2"/>
        <v>Jan</v>
      </c>
      <c r="P6" s="3" t="str">
        <f t="shared" si="3"/>
        <v>Q1</v>
      </c>
      <c r="Q6">
        <f t="shared" si="4"/>
        <v>2025</v>
      </c>
      <c r="R6" s="4">
        <f t="shared" si="5"/>
        <v>0.48407508647399278</v>
      </c>
      <c r="S6" s="3" t="str">
        <f t="shared" si="6"/>
        <v>Medium</v>
      </c>
    </row>
    <row r="7" spans="1:19" x14ac:dyDescent="0.25">
      <c r="A7" s="1">
        <v>45674</v>
      </c>
      <c r="B7" t="s">
        <v>20</v>
      </c>
      <c r="C7" t="s">
        <v>25</v>
      </c>
      <c r="D7" t="s">
        <v>31</v>
      </c>
      <c r="E7" s="2">
        <v>3</v>
      </c>
      <c r="F7" s="3">
        <v>17830.04</v>
      </c>
      <c r="G7" s="3">
        <v>53490.12</v>
      </c>
      <c r="H7" s="3">
        <v>29403.45</v>
      </c>
      <c r="I7" s="3">
        <v>24086.67</v>
      </c>
      <c r="J7" t="s">
        <v>32</v>
      </c>
      <c r="K7" t="s">
        <v>15</v>
      </c>
      <c r="L7">
        <f>tblRawBusinessData3[[#This Row],[Quantity]]*tblRawBusinessData3[[#This Row],[Unit_Price]]-tblRawBusinessData3[[#This Row],[Revenue]]</f>
        <v>0</v>
      </c>
      <c r="M7" s="3">
        <f t="shared" si="0"/>
        <v>0</v>
      </c>
      <c r="N7" s="3" t="str">
        <f t="shared" si="1"/>
        <v>Valid</v>
      </c>
      <c r="O7" s="3" t="str">
        <f t="shared" si="2"/>
        <v>Jan</v>
      </c>
      <c r="P7" s="3" t="str">
        <f t="shared" si="3"/>
        <v>Q1</v>
      </c>
      <c r="Q7">
        <f t="shared" si="4"/>
        <v>2025</v>
      </c>
      <c r="R7" s="4">
        <f t="shared" si="5"/>
        <v>0.45030128928482488</v>
      </c>
      <c r="S7" s="3" t="str">
        <f t="shared" si="6"/>
        <v>Large</v>
      </c>
    </row>
    <row r="8" spans="1:19" x14ac:dyDescent="0.25">
      <c r="A8" s="1">
        <v>45674</v>
      </c>
      <c r="B8" t="s">
        <v>33</v>
      </c>
      <c r="C8" t="s">
        <v>25</v>
      </c>
      <c r="D8" t="s">
        <v>28</v>
      </c>
      <c r="E8" s="2">
        <v>1</v>
      </c>
      <c r="F8" s="3">
        <v>40094.300000000003</v>
      </c>
      <c r="G8" s="3">
        <v>40094.300000000003</v>
      </c>
      <c r="H8" s="3">
        <v>18591.900000000001</v>
      </c>
      <c r="I8" s="3">
        <v>21502.400000000001</v>
      </c>
      <c r="J8" t="s">
        <v>14</v>
      </c>
      <c r="K8" t="s">
        <v>19</v>
      </c>
      <c r="L8">
        <f>tblRawBusinessData3[[#This Row],[Quantity]]*tblRawBusinessData3[[#This Row],[Unit_Price]]-tblRawBusinessData3[[#This Row],[Revenue]]</f>
        <v>0</v>
      </c>
      <c r="M8" s="3">
        <f t="shared" si="0"/>
        <v>0</v>
      </c>
      <c r="N8" s="3" t="str">
        <f t="shared" si="1"/>
        <v>Valid</v>
      </c>
      <c r="O8" s="3" t="str">
        <f t="shared" si="2"/>
        <v>Jan</v>
      </c>
      <c r="P8" s="3" t="str">
        <f t="shared" si="3"/>
        <v>Q1</v>
      </c>
      <c r="Q8">
        <f t="shared" si="4"/>
        <v>2025</v>
      </c>
      <c r="R8" s="4">
        <f t="shared" si="5"/>
        <v>0.53629568292749841</v>
      </c>
      <c r="S8" s="3" t="str">
        <f t="shared" si="6"/>
        <v>Large</v>
      </c>
    </row>
    <row r="9" spans="1:19" x14ac:dyDescent="0.25">
      <c r="A9" s="1">
        <v>45675</v>
      </c>
      <c r="B9" t="s">
        <v>24</v>
      </c>
      <c r="C9" t="s">
        <v>34</v>
      </c>
      <c r="D9" t="s">
        <v>35</v>
      </c>
      <c r="E9" s="2">
        <v>6</v>
      </c>
      <c r="F9" s="3">
        <v>5104.84</v>
      </c>
      <c r="G9" s="3">
        <v>30629.040000000001</v>
      </c>
      <c r="H9" s="3">
        <v>22910.959999999999</v>
      </c>
      <c r="I9" s="3">
        <v>7718.08</v>
      </c>
      <c r="J9" t="s">
        <v>18</v>
      </c>
      <c r="K9" t="s">
        <v>30</v>
      </c>
      <c r="L9">
        <f>tblRawBusinessData3[[#This Row],[Quantity]]*tblRawBusinessData3[[#This Row],[Unit_Price]]-tblRawBusinessData3[[#This Row],[Revenue]]</f>
        <v>0</v>
      </c>
      <c r="M9" s="3">
        <f t="shared" si="0"/>
        <v>0</v>
      </c>
      <c r="N9" s="3" t="str">
        <f t="shared" si="1"/>
        <v>Valid</v>
      </c>
      <c r="O9" s="3" t="str">
        <f t="shared" si="2"/>
        <v>Jan</v>
      </c>
      <c r="P9" s="3" t="str">
        <f t="shared" si="3"/>
        <v>Q1</v>
      </c>
      <c r="Q9">
        <f t="shared" si="4"/>
        <v>2025</v>
      </c>
      <c r="R9" s="4">
        <f t="shared" si="5"/>
        <v>0.25198569723373632</v>
      </c>
      <c r="S9" s="3" t="str">
        <f t="shared" si="6"/>
        <v>Large</v>
      </c>
    </row>
    <row r="10" spans="1:19" x14ac:dyDescent="0.25">
      <c r="A10" s="1">
        <v>45675</v>
      </c>
      <c r="B10" t="s">
        <v>36</v>
      </c>
      <c r="C10" t="s">
        <v>37</v>
      </c>
      <c r="D10" t="s">
        <v>38</v>
      </c>
      <c r="E10" s="2">
        <v>2</v>
      </c>
      <c r="F10" s="3">
        <v>6262.71</v>
      </c>
      <c r="G10" s="3">
        <v>12525.42</v>
      </c>
      <c r="H10" s="3">
        <v>4480.6000000000004</v>
      </c>
      <c r="I10" s="3">
        <v>8044.82</v>
      </c>
      <c r="J10" t="s">
        <v>32</v>
      </c>
      <c r="K10" t="s">
        <v>30</v>
      </c>
      <c r="L10">
        <f>tblRawBusinessData3[[#This Row],[Quantity]]*tblRawBusinessData3[[#This Row],[Unit_Price]]-tblRawBusinessData3[[#This Row],[Revenue]]</f>
        <v>0</v>
      </c>
      <c r="M10" s="3">
        <f t="shared" si="0"/>
        <v>0</v>
      </c>
      <c r="N10" s="3" t="str">
        <f t="shared" si="1"/>
        <v>Valid</v>
      </c>
      <c r="O10" s="3" t="str">
        <f t="shared" si="2"/>
        <v>Jan</v>
      </c>
      <c r="P10" s="3" t="str">
        <f t="shared" si="3"/>
        <v>Q1</v>
      </c>
      <c r="Q10">
        <f t="shared" si="4"/>
        <v>2025</v>
      </c>
      <c r="R10" s="4">
        <f t="shared" si="5"/>
        <v>0.64227946048914919</v>
      </c>
      <c r="S10" s="3" t="str">
        <f t="shared" si="6"/>
        <v>Medium</v>
      </c>
    </row>
    <row r="11" spans="1:19" x14ac:dyDescent="0.25">
      <c r="A11" s="1">
        <v>45680</v>
      </c>
      <c r="B11" t="s">
        <v>11</v>
      </c>
      <c r="C11" t="s">
        <v>12</v>
      </c>
      <c r="D11" t="s">
        <v>13</v>
      </c>
      <c r="E11" s="2">
        <v>3</v>
      </c>
      <c r="F11" s="3">
        <v>17118.78</v>
      </c>
      <c r="G11" s="3">
        <v>51356.34</v>
      </c>
      <c r="H11" s="3">
        <v>27055</v>
      </c>
      <c r="I11" s="3">
        <v>24301.34</v>
      </c>
      <c r="J11" t="s">
        <v>27</v>
      </c>
      <c r="K11" t="s">
        <v>15</v>
      </c>
      <c r="L11">
        <f>tblRawBusinessData3[[#This Row],[Quantity]]*tblRawBusinessData3[[#This Row],[Unit_Price]]-tblRawBusinessData3[[#This Row],[Revenue]]</f>
        <v>0</v>
      </c>
      <c r="M11" s="3">
        <f t="shared" si="0"/>
        <v>0</v>
      </c>
      <c r="N11" s="3" t="str">
        <f t="shared" si="1"/>
        <v>Valid</v>
      </c>
      <c r="O11" s="3" t="str">
        <f t="shared" si="2"/>
        <v>Jan</v>
      </c>
      <c r="P11" s="3" t="str">
        <f t="shared" si="3"/>
        <v>Q1</v>
      </c>
      <c r="Q11">
        <f t="shared" si="4"/>
        <v>2025</v>
      </c>
      <c r="R11" s="4">
        <f t="shared" si="5"/>
        <v>0.47319065182604525</v>
      </c>
      <c r="S11" s="3" t="str">
        <f t="shared" si="6"/>
        <v>Large</v>
      </c>
    </row>
    <row r="12" spans="1:19" x14ac:dyDescent="0.25">
      <c r="A12" s="1">
        <v>45681</v>
      </c>
      <c r="B12" t="s">
        <v>39</v>
      </c>
      <c r="C12" t="s">
        <v>21</v>
      </c>
      <c r="D12" t="s">
        <v>40</v>
      </c>
      <c r="E12" s="2">
        <v>3</v>
      </c>
      <c r="F12" s="3">
        <v>58208.45</v>
      </c>
      <c r="G12" s="3">
        <v>174625.35</v>
      </c>
      <c r="H12" s="3">
        <v>123429.15</v>
      </c>
      <c r="I12" s="3">
        <v>51196.2</v>
      </c>
      <c r="J12" t="s">
        <v>32</v>
      </c>
      <c r="K12" t="s">
        <v>15</v>
      </c>
      <c r="L12">
        <f>tblRawBusinessData3[[#This Row],[Quantity]]*tblRawBusinessData3[[#This Row],[Unit_Price]]-tblRawBusinessData3[[#This Row],[Revenue]]</f>
        <v>0</v>
      </c>
      <c r="M12" s="3">
        <f t="shared" si="0"/>
        <v>0</v>
      </c>
      <c r="N12" s="3" t="str">
        <f t="shared" si="1"/>
        <v>Valid</v>
      </c>
      <c r="O12" s="3" t="str">
        <f t="shared" si="2"/>
        <v>Jan</v>
      </c>
      <c r="P12" s="3" t="str">
        <f t="shared" si="3"/>
        <v>Q1</v>
      </c>
      <c r="Q12">
        <f t="shared" si="4"/>
        <v>2025</v>
      </c>
      <c r="R12" s="4">
        <f t="shared" si="5"/>
        <v>0.29317736514200254</v>
      </c>
      <c r="S12" s="3" t="str">
        <f t="shared" si="6"/>
        <v>Large</v>
      </c>
    </row>
    <row r="13" spans="1:19" x14ac:dyDescent="0.25">
      <c r="A13" s="1">
        <v>45681</v>
      </c>
      <c r="B13" t="s">
        <v>36</v>
      </c>
      <c r="C13" t="s">
        <v>37</v>
      </c>
      <c r="D13" t="s">
        <v>38</v>
      </c>
      <c r="E13" s="2">
        <v>3</v>
      </c>
      <c r="F13" s="3">
        <v>11746.99</v>
      </c>
      <c r="G13" s="3">
        <v>35240.97</v>
      </c>
      <c r="H13" s="3">
        <v>15942.75</v>
      </c>
      <c r="I13" s="3">
        <v>19298.22</v>
      </c>
      <c r="J13" t="s">
        <v>32</v>
      </c>
      <c r="K13" t="s">
        <v>15</v>
      </c>
      <c r="L13">
        <f>tblRawBusinessData3[[#This Row],[Quantity]]*tblRawBusinessData3[[#This Row],[Unit_Price]]-tblRawBusinessData3[[#This Row],[Revenue]]</f>
        <v>0</v>
      </c>
      <c r="M13" s="3">
        <f t="shared" si="0"/>
        <v>0</v>
      </c>
      <c r="N13" s="3" t="str">
        <f t="shared" si="1"/>
        <v>Valid</v>
      </c>
      <c r="O13" s="3" t="str">
        <f t="shared" si="2"/>
        <v>Jan</v>
      </c>
      <c r="P13" s="3" t="str">
        <f t="shared" si="3"/>
        <v>Q1</v>
      </c>
      <c r="Q13">
        <f t="shared" si="4"/>
        <v>2025</v>
      </c>
      <c r="R13" s="4">
        <f t="shared" si="5"/>
        <v>0.54760751477612568</v>
      </c>
      <c r="S13" s="3" t="str">
        <f t="shared" si="6"/>
        <v>Large</v>
      </c>
    </row>
    <row r="14" spans="1:19" x14ac:dyDescent="0.25">
      <c r="A14" s="1">
        <v>45682</v>
      </c>
      <c r="B14" t="s">
        <v>41</v>
      </c>
      <c r="C14" t="s">
        <v>12</v>
      </c>
      <c r="D14" t="s">
        <v>17</v>
      </c>
      <c r="E14" s="2">
        <v>2</v>
      </c>
      <c r="F14" s="3">
        <v>5323</v>
      </c>
      <c r="G14" s="3">
        <v>10646</v>
      </c>
      <c r="H14" s="3">
        <v>6571.47</v>
      </c>
      <c r="I14" s="3">
        <v>4074.53</v>
      </c>
      <c r="J14" t="s">
        <v>27</v>
      </c>
      <c r="K14" t="s">
        <v>15</v>
      </c>
      <c r="L14">
        <f>tblRawBusinessData3[[#This Row],[Quantity]]*tblRawBusinessData3[[#This Row],[Unit_Price]]-tblRawBusinessData3[[#This Row],[Revenue]]</f>
        <v>0</v>
      </c>
      <c r="M14" s="3">
        <f t="shared" si="0"/>
        <v>0</v>
      </c>
      <c r="N14" s="3" t="str">
        <f t="shared" si="1"/>
        <v>Valid</v>
      </c>
      <c r="O14" s="3" t="str">
        <f t="shared" si="2"/>
        <v>Jan</v>
      </c>
      <c r="P14" s="3" t="str">
        <f t="shared" si="3"/>
        <v>Q1</v>
      </c>
      <c r="Q14">
        <f t="shared" si="4"/>
        <v>2025</v>
      </c>
      <c r="R14" s="4">
        <f t="shared" si="5"/>
        <v>0.38272872440353184</v>
      </c>
      <c r="S14" s="3" t="str">
        <f t="shared" si="6"/>
        <v>Medium</v>
      </c>
    </row>
    <row r="15" spans="1:19" x14ac:dyDescent="0.25">
      <c r="A15" s="1">
        <v>45684</v>
      </c>
      <c r="B15" t="s">
        <v>39</v>
      </c>
      <c r="C15" t="s">
        <v>21</v>
      </c>
      <c r="D15" t="s">
        <v>22</v>
      </c>
      <c r="E15" s="2">
        <v>5</v>
      </c>
      <c r="F15" s="3">
        <v>17856.439999999999</v>
      </c>
      <c r="G15" s="3">
        <v>89282.2</v>
      </c>
      <c r="H15" s="3">
        <v>71688.05</v>
      </c>
      <c r="I15" s="3">
        <v>17594.150000000001</v>
      </c>
      <c r="J15" t="s">
        <v>14</v>
      </c>
      <c r="K15" t="s">
        <v>19</v>
      </c>
      <c r="L15">
        <f>tblRawBusinessData3[[#This Row],[Quantity]]*tblRawBusinessData3[[#This Row],[Unit_Price]]-tblRawBusinessData3[[#This Row],[Revenue]]</f>
        <v>0</v>
      </c>
      <c r="M15" s="3">
        <f t="shared" si="0"/>
        <v>0</v>
      </c>
      <c r="N15" s="3" t="str">
        <f t="shared" si="1"/>
        <v>Valid</v>
      </c>
      <c r="O15" s="3" t="str">
        <f t="shared" si="2"/>
        <v>Jan</v>
      </c>
      <c r="P15" s="3" t="str">
        <f t="shared" si="3"/>
        <v>Q1</v>
      </c>
      <c r="Q15">
        <f t="shared" si="4"/>
        <v>2025</v>
      </c>
      <c r="R15" s="4">
        <f t="shared" si="5"/>
        <v>0.19706223636962353</v>
      </c>
      <c r="S15" s="3" t="str">
        <f t="shared" si="6"/>
        <v>Large</v>
      </c>
    </row>
    <row r="16" spans="1:19" x14ac:dyDescent="0.25">
      <c r="A16" s="1">
        <v>45686</v>
      </c>
      <c r="B16" t="s">
        <v>42</v>
      </c>
      <c r="C16" t="s">
        <v>12</v>
      </c>
      <c r="D16" t="s">
        <v>13</v>
      </c>
      <c r="E16" s="2">
        <v>1</v>
      </c>
      <c r="F16" s="3">
        <v>6742.56</v>
      </c>
      <c r="G16" s="3">
        <v>6742.56</v>
      </c>
      <c r="H16" s="3">
        <v>3455.28</v>
      </c>
      <c r="I16" s="3">
        <v>3287.28</v>
      </c>
      <c r="J16" t="s">
        <v>18</v>
      </c>
      <c r="K16" t="s">
        <v>23</v>
      </c>
      <c r="L16">
        <f>tblRawBusinessData3[[#This Row],[Quantity]]*tblRawBusinessData3[[#This Row],[Unit_Price]]-tblRawBusinessData3[[#This Row],[Revenue]]</f>
        <v>0</v>
      </c>
      <c r="M16" s="3">
        <f t="shared" si="0"/>
        <v>0</v>
      </c>
      <c r="N16" s="3" t="str">
        <f t="shared" si="1"/>
        <v>Valid</v>
      </c>
      <c r="O16" s="3" t="str">
        <f t="shared" si="2"/>
        <v>Jan</v>
      </c>
      <c r="P16" s="3" t="str">
        <f t="shared" si="3"/>
        <v>Q1</v>
      </c>
      <c r="Q16">
        <f t="shared" si="4"/>
        <v>2025</v>
      </c>
      <c r="R16" s="4">
        <f t="shared" si="5"/>
        <v>0.48754182387698441</v>
      </c>
      <c r="S16" s="3" t="str">
        <f t="shared" si="6"/>
        <v>Small</v>
      </c>
    </row>
    <row r="17" spans="1:19" x14ac:dyDescent="0.25">
      <c r="A17" s="1">
        <v>45687</v>
      </c>
      <c r="B17" t="s">
        <v>20</v>
      </c>
      <c r="C17" t="s">
        <v>37</v>
      </c>
      <c r="D17" t="s">
        <v>38</v>
      </c>
      <c r="E17" s="2">
        <v>1</v>
      </c>
      <c r="F17" s="3">
        <v>10758.99</v>
      </c>
      <c r="G17" s="3">
        <v>10758.99</v>
      </c>
      <c r="H17" s="3">
        <v>4466.6099999999997</v>
      </c>
      <c r="I17" s="3">
        <v>6292.38</v>
      </c>
      <c r="J17" t="s">
        <v>29</v>
      </c>
      <c r="K17" t="s">
        <v>23</v>
      </c>
      <c r="L17">
        <f>tblRawBusinessData3[[#This Row],[Quantity]]*tblRawBusinessData3[[#This Row],[Unit_Price]]-tblRawBusinessData3[[#This Row],[Revenue]]</f>
        <v>0</v>
      </c>
      <c r="M17" s="3">
        <f t="shared" si="0"/>
        <v>0</v>
      </c>
      <c r="N17" s="3" t="str">
        <f t="shared" si="1"/>
        <v>Valid</v>
      </c>
      <c r="O17" s="3" t="str">
        <f t="shared" si="2"/>
        <v>Jan</v>
      </c>
      <c r="P17" s="3" t="str">
        <f t="shared" si="3"/>
        <v>Q1</v>
      </c>
      <c r="Q17">
        <f t="shared" si="4"/>
        <v>2025</v>
      </c>
      <c r="R17" s="4">
        <f t="shared" si="5"/>
        <v>0.58484857779401234</v>
      </c>
      <c r="S17" s="3" t="str">
        <f t="shared" si="6"/>
        <v>Medium</v>
      </c>
    </row>
    <row r="18" spans="1:19" x14ac:dyDescent="0.25">
      <c r="A18" s="1">
        <v>45687</v>
      </c>
      <c r="B18" t="s">
        <v>43</v>
      </c>
      <c r="C18" t="s">
        <v>21</v>
      </c>
      <c r="D18" t="s">
        <v>40</v>
      </c>
      <c r="E18" s="2">
        <v>4</v>
      </c>
      <c r="F18" s="3">
        <v>50715.38</v>
      </c>
      <c r="G18" s="3">
        <v>202861.52</v>
      </c>
      <c r="H18" s="3">
        <v>141887.63</v>
      </c>
      <c r="I18" s="3">
        <v>60973.89</v>
      </c>
      <c r="J18" t="s">
        <v>18</v>
      </c>
      <c r="K18" t="s">
        <v>30</v>
      </c>
      <c r="L18">
        <f>tblRawBusinessData3[[#This Row],[Quantity]]*tblRawBusinessData3[[#This Row],[Unit_Price]]-tblRawBusinessData3[[#This Row],[Revenue]]</f>
        <v>0</v>
      </c>
      <c r="M18" s="3">
        <f t="shared" si="0"/>
        <v>0</v>
      </c>
      <c r="N18" s="3" t="str">
        <f t="shared" si="1"/>
        <v>Valid</v>
      </c>
      <c r="O18" s="3" t="str">
        <f t="shared" si="2"/>
        <v>Jan</v>
      </c>
      <c r="P18" s="3" t="str">
        <f t="shared" si="3"/>
        <v>Q1</v>
      </c>
      <c r="Q18">
        <f t="shared" si="4"/>
        <v>2025</v>
      </c>
      <c r="R18" s="4">
        <f t="shared" si="5"/>
        <v>0.30056902856687656</v>
      </c>
      <c r="S18" s="3" t="str">
        <f t="shared" si="6"/>
        <v>Large</v>
      </c>
    </row>
    <row r="19" spans="1:19" x14ac:dyDescent="0.25">
      <c r="A19" s="1">
        <v>45688</v>
      </c>
      <c r="B19" t="s">
        <v>36</v>
      </c>
      <c r="C19" t="s">
        <v>37</v>
      </c>
      <c r="D19" t="s">
        <v>38</v>
      </c>
      <c r="E19" s="2">
        <v>1</v>
      </c>
      <c r="F19" s="3">
        <v>6117.27</v>
      </c>
      <c r="G19" s="3">
        <v>6117.27</v>
      </c>
      <c r="H19" s="3">
        <v>2376.41</v>
      </c>
      <c r="I19" s="3">
        <v>3740.86</v>
      </c>
      <c r="J19" t="s">
        <v>14</v>
      </c>
      <c r="K19" t="s">
        <v>30</v>
      </c>
      <c r="L19">
        <f>tblRawBusinessData3[[#This Row],[Quantity]]*tblRawBusinessData3[[#This Row],[Unit_Price]]-tblRawBusinessData3[[#This Row],[Revenue]]</f>
        <v>0</v>
      </c>
      <c r="M19" s="3">
        <f t="shared" si="0"/>
        <v>0</v>
      </c>
      <c r="N19" s="3" t="str">
        <f t="shared" si="1"/>
        <v>Valid</v>
      </c>
      <c r="O19" s="3" t="str">
        <f t="shared" si="2"/>
        <v>Jan</v>
      </c>
      <c r="P19" s="3" t="str">
        <f t="shared" si="3"/>
        <v>Q1</v>
      </c>
      <c r="Q19">
        <f t="shared" si="4"/>
        <v>2025</v>
      </c>
      <c r="R19" s="4">
        <f t="shared" si="5"/>
        <v>0.61152442184176925</v>
      </c>
      <c r="S19" s="3" t="str">
        <f t="shared" si="6"/>
        <v>Small</v>
      </c>
    </row>
    <row r="20" spans="1:19" x14ac:dyDescent="0.25">
      <c r="A20" s="1">
        <v>45688</v>
      </c>
      <c r="B20" t="s">
        <v>33</v>
      </c>
      <c r="C20" t="s">
        <v>25</v>
      </c>
      <c r="D20" t="s">
        <v>26</v>
      </c>
      <c r="E20" s="2">
        <v>1</v>
      </c>
      <c r="F20" s="3">
        <v>28951.8</v>
      </c>
      <c r="G20" s="3">
        <v>28951.8</v>
      </c>
      <c r="H20" s="3">
        <v>15405.51</v>
      </c>
      <c r="I20" s="3">
        <v>13546.29</v>
      </c>
      <c r="J20" t="s">
        <v>29</v>
      </c>
      <c r="K20" t="s">
        <v>15</v>
      </c>
      <c r="L20">
        <f>tblRawBusinessData3[[#This Row],[Quantity]]*tblRawBusinessData3[[#This Row],[Unit_Price]]-tblRawBusinessData3[[#This Row],[Revenue]]</f>
        <v>0</v>
      </c>
      <c r="M20" s="3">
        <f t="shared" si="0"/>
        <v>0</v>
      </c>
      <c r="N20" s="3" t="str">
        <f t="shared" si="1"/>
        <v>Valid</v>
      </c>
      <c r="O20" s="3" t="str">
        <f t="shared" si="2"/>
        <v>Jan</v>
      </c>
      <c r="P20" s="3" t="str">
        <f t="shared" si="3"/>
        <v>Q1</v>
      </c>
      <c r="Q20">
        <f t="shared" si="4"/>
        <v>2025</v>
      </c>
      <c r="R20" s="4">
        <f t="shared" si="5"/>
        <v>0.46789111557830604</v>
      </c>
      <c r="S20" s="3" t="str">
        <f t="shared" si="6"/>
        <v>Medium</v>
      </c>
    </row>
    <row r="21" spans="1:19" x14ac:dyDescent="0.25">
      <c r="A21" s="1">
        <v>45688</v>
      </c>
      <c r="B21" t="s">
        <v>36</v>
      </c>
      <c r="C21" t="s">
        <v>12</v>
      </c>
      <c r="D21" t="s">
        <v>17</v>
      </c>
      <c r="E21" s="2">
        <v>2</v>
      </c>
      <c r="F21" s="3">
        <v>3013.68</v>
      </c>
      <c r="G21" s="3">
        <v>6027.36</v>
      </c>
      <c r="H21" s="3">
        <v>3794.91</v>
      </c>
      <c r="I21" s="3">
        <v>2232.4499999999998</v>
      </c>
      <c r="J21" t="s">
        <v>32</v>
      </c>
      <c r="K21" t="s">
        <v>23</v>
      </c>
      <c r="L21">
        <f>tblRawBusinessData3[[#This Row],[Quantity]]*tblRawBusinessData3[[#This Row],[Unit_Price]]-tblRawBusinessData3[[#This Row],[Revenue]]</f>
        <v>0</v>
      </c>
      <c r="M21" s="3">
        <f t="shared" si="0"/>
        <v>0</v>
      </c>
      <c r="N21" s="3" t="str">
        <f t="shared" si="1"/>
        <v>Valid</v>
      </c>
      <c r="O21" s="3" t="str">
        <f t="shared" si="2"/>
        <v>Jan</v>
      </c>
      <c r="P21" s="3" t="str">
        <f t="shared" si="3"/>
        <v>Q1</v>
      </c>
      <c r="Q21">
        <f t="shared" si="4"/>
        <v>2025</v>
      </c>
      <c r="R21" s="4">
        <f t="shared" si="5"/>
        <v>0.37038603965915423</v>
      </c>
      <c r="S21" s="3" t="str">
        <f t="shared" si="6"/>
        <v>Small</v>
      </c>
    </row>
    <row r="22" spans="1:19" x14ac:dyDescent="0.25">
      <c r="A22" s="1">
        <v>45694</v>
      </c>
      <c r="B22" t="s">
        <v>44</v>
      </c>
      <c r="C22" t="s">
        <v>25</v>
      </c>
      <c r="D22" t="s">
        <v>31</v>
      </c>
      <c r="E22" s="2">
        <v>3</v>
      </c>
      <c r="F22" s="3">
        <v>14537.07</v>
      </c>
      <c r="G22" s="3">
        <v>43611.21</v>
      </c>
      <c r="H22" s="3">
        <v>24102.63</v>
      </c>
      <c r="I22" s="3">
        <v>19508.580000000002</v>
      </c>
      <c r="J22" t="s">
        <v>18</v>
      </c>
      <c r="K22" t="s">
        <v>15</v>
      </c>
      <c r="L22">
        <f>tblRawBusinessData3[[#This Row],[Quantity]]*tblRawBusinessData3[[#This Row],[Unit_Price]]-tblRawBusinessData3[[#This Row],[Revenue]]</f>
        <v>0</v>
      </c>
      <c r="M22" s="3">
        <f t="shared" si="0"/>
        <v>0</v>
      </c>
      <c r="N22" s="3" t="str">
        <f t="shared" si="1"/>
        <v>Valid</v>
      </c>
      <c r="O22" s="3" t="str">
        <f t="shared" si="2"/>
        <v>Feb</v>
      </c>
      <c r="P22" s="3" t="str">
        <f t="shared" si="3"/>
        <v>Q1</v>
      </c>
      <c r="Q22">
        <f t="shared" si="4"/>
        <v>2025</v>
      </c>
      <c r="R22" s="4">
        <f t="shared" si="5"/>
        <v>0.44732948248856202</v>
      </c>
      <c r="S22" s="3" t="str">
        <f t="shared" si="6"/>
        <v>Large</v>
      </c>
    </row>
    <row r="23" spans="1:19" x14ac:dyDescent="0.25">
      <c r="A23" s="1">
        <v>45697</v>
      </c>
      <c r="B23" t="s">
        <v>36</v>
      </c>
      <c r="C23" t="s">
        <v>37</v>
      </c>
      <c r="D23" t="s">
        <v>45</v>
      </c>
      <c r="E23" s="2">
        <v>1</v>
      </c>
      <c r="F23" s="3">
        <v>13542.31</v>
      </c>
      <c r="G23" s="3">
        <v>13542.31</v>
      </c>
      <c r="H23" s="3">
        <v>4063.2</v>
      </c>
      <c r="I23" s="3">
        <v>9479.11</v>
      </c>
      <c r="J23" t="s">
        <v>29</v>
      </c>
      <c r="K23" t="s">
        <v>46</v>
      </c>
      <c r="L23">
        <f>tblRawBusinessData3[[#This Row],[Quantity]]*tblRawBusinessData3[[#This Row],[Unit_Price]]-tblRawBusinessData3[[#This Row],[Revenue]]</f>
        <v>0</v>
      </c>
      <c r="M23" s="3">
        <f t="shared" si="0"/>
        <v>0</v>
      </c>
      <c r="N23" s="3" t="str">
        <f t="shared" si="1"/>
        <v>Valid</v>
      </c>
      <c r="O23" s="3" t="str">
        <f t="shared" si="2"/>
        <v>Feb</v>
      </c>
      <c r="P23" s="3" t="str">
        <f t="shared" si="3"/>
        <v>Q1</v>
      </c>
      <c r="Q23">
        <f t="shared" si="4"/>
        <v>2025</v>
      </c>
      <c r="R23" s="4">
        <f t="shared" si="5"/>
        <v>0.69996256177860361</v>
      </c>
      <c r="S23" s="3" t="str">
        <f t="shared" si="6"/>
        <v>Medium</v>
      </c>
    </row>
    <row r="24" spans="1:19" x14ac:dyDescent="0.25">
      <c r="A24" s="1">
        <v>45698</v>
      </c>
      <c r="B24" t="s">
        <v>42</v>
      </c>
      <c r="C24" t="s">
        <v>25</v>
      </c>
      <c r="D24" t="s">
        <v>31</v>
      </c>
      <c r="E24" s="2">
        <v>3</v>
      </c>
      <c r="F24" s="3">
        <v>19272.240000000002</v>
      </c>
      <c r="G24" s="3">
        <v>57816.72</v>
      </c>
      <c r="H24" s="3">
        <v>26547.41</v>
      </c>
      <c r="I24" s="3">
        <v>31269.31</v>
      </c>
      <c r="J24" t="s">
        <v>14</v>
      </c>
      <c r="K24" t="s">
        <v>46</v>
      </c>
      <c r="L24">
        <f>tblRawBusinessData3[[#This Row],[Quantity]]*tblRawBusinessData3[[#This Row],[Unit_Price]]-tblRawBusinessData3[[#This Row],[Revenue]]</f>
        <v>0</v>
      </c>
      <c r="M24" s="3">
        <f t="shared" si="0"/>
        <v>0</v>
      </c>
      <c r="N24" s="3" t="str">
        <f t="shared" si="1"/>
        <v>Valid</v>
      </c>
      <c r="O24" s="3" t="str">
        <f t="shared" si="2"/>
        <v>Feb</v>
      </c>
      <c r="P24" s="3" t="str">
        <f t="shared" si="3"/>
        <v>Q1</v>
      </c>
      <c r="Q24">
        <f t="shared" si="4"/>
        <v>2025</v>
      </c>
      <c r="R24" s="4">
        <f t="shared" si="5"/>
        <v>0.54083507331443226</v>
      </c>
      <c r="S24" s="3" t="str">
        <f t="shared" si="6"/>
        <v>Large</v>
      </c>
    </row>
    <row r="25" spans="1:19" x14ac:dyDescent="0.25">
      <c r="A25" s="1">
        <v>45698</v>
      </c>
      <c r="B25" t="s">
        <v>44</v>
      </c>
      <c r="C25" t="s">
        <v>37</v>
      </c>
      <c r="D25" t="s">
        <v>38</v>
      </c>
      <c r="E25" s="2">
        <v>2</v>
      </c>
      <c r="F25" s="3">
        <v>5445.44</v>
      </c>
      <c r="G25" s="3">
        <v>10890.88</v>
      </c>
      <c r="H25" s="3">
        <v>3963.65</v>
      </c>
      <c r="I25" s="3">
        <v>6927.23</v>
      </c>
      <c r="J25" t="s">
        <v>29</v>
      </c>
      <c r="K25" t="s">
        <v>15</v>
      </c>
      <c r="L25">
        <f>tblRawBusinessData3[[#This Row],[Quantity]]*tblRawBusinessData3[[#This Row],[Unit_Price]]-tblRawBusinessData3[[#This Row],[Revenue]]</f>
        <v>0</v>
      </c>
      <c r="M25" s="3">
        <f t="shared" si="0"/>
        <v>0</v>
      </c>
      <c r="N25" s="3" t="str">
        <f t="shared" si="1"/>
        <v>Valid</v>
      </c>
      <c r="O25" s="3" t="str">
        <f t="shared" si="2"/>
        <v>Feb</v>
      </c>
      <c r="P25" s="3" t="str">
        <f t="shared" si="3"/>
        <v>Q1</v>
      </c>
      <c r="Q25">
        <f t="shared" si="4"/>
        <v>2025</v>
      </c>
      <c r="R25" s="4">
        <f t="shared" si="5"/>
        <v>0.63605787594758179</v>
      </c>
      <c r="S25" s="3" t="str">
        <f t="shared" si="6"/>
        <v>Medium</v>
      </c>
    </row>
    <row r="26" spans="1:19" x14ac:dyDescent="0.25">
      <c r="A26" s="1">
        <v>45700</v>
      </c>
      <c r="B26" t="s">
        <v>44</v>
      </c>
      <c r="C26" t="s">
        <v>37</v>
      </c>
      <c r="D26" t="s">
        <v>38</v>
      </c>
      <c r="E26" s="2">
        <v>4</v>
      </c>
      <c r="F26" s="3">
        <v>9365.7800000000007</v>
      </c>
      <c r="G26" s="3">
        <v>37463.120000000003</v>
      </c>
      <c r="H26" s="3">
        <v>14501.88</v>
      </c>
      <c r="I26" s="3">
        <v>22961.24</v>
      </c>
      <c r="J26" t="s">
        <v>18</v>
      </c>
      <c r="K26" t="s">
        <v>19</v>
      </c>
      <c r="L26">
        <f>tblRawBusinessData3[[#This Row],[Quantity]]*tblRawBusinessData3[[#This Row],[Unit_Price]]-tblRawBusinessData3[[#This Row],[Revenue]]</f>
        <v>0</v>
      </c>
      <c r="M26" s="3">
        <f t="shared" si="0"/>
        <v>0</v>
      </c>
      <c r="N26" s="3" t="str">
        <f t="shared" si="1"/>
        <v>Valid</v>
      </c>
      <c r="O26" s="3" t="str">
        <f t="shared" si="2"/>
        <v>Feb</v>
      </c>
      <c r="P26" s="3" t="str">
        <f t="shared" si="3"/>
        <v>Q1</v>
      </c>
      <c r="Q26">
        <f t="shared" si="4"/>
        <v>2025</v>
      </c>
      <c r="R26" s="4">
        <f t="shared" si="5"/>
        <v>0.61290250251447287</v>
      </c>
      <c r="S26" s="3" t="str">
        <f t="shared" si="6"/>
        <v>Large</v>
      </c>
    </row>
    <row r="27" spans="1:19" x14ac:dyDescent="0.25">
      <c r="A27" s="1">
        <v>45700</v>
      </c>
      <c r="B27" t="s">
        <v>20</v>
      </c>
      <c r="C27" t="s">
        <v>37</v>
      </c>
      <c r="D27" t="s">
        <v>47</v>
      </c>
      <c r="E27" s="2">
        <v>1</v>
      </c>
      <c r="F27" s="3">
        <v>14389.39</v>
      </c>
      <c r="G27" s="3">
        <v>14389.39</v>
      </c>
      <c r="H27" s="3">
        <v>4962.29</v>
      </c>
      <c r="I27" s="3">
        <v>9427.1</v>
      </c>
      <c r="J27" t="s">
        <v>18</v>
      </c>
      <c r="K27" t="s">
        <v>15</v>
      </c>
      <c r="L27">
        <f>tblRawBusinessData3[[#This Row],[Quantity]]*tblRawBusinessData3[[#This Row],[Unit_Price]]-tblRawBusinessData3[[#This Row],[Revenue]]</f>
        <v>0</v>
      </c>
      <c r="M27" s="3">
        <f t="shared" si="0"/>
        <v>0</v>
      </c>
      <c r="N27" s="3" t="str">
        <f t="shared" si="1"/>
        <v>Valid</v>
      </c>
      <c r="O27" s="3" t="str">
        <f t="shared" si="2"/>
        <v>Feb</v>
      </c>
      <c r="P27" s="3" t="str">
        <f t="shared" si="3"/>
        <v>Q1</v>
      </c>
      <c r="Q27">
        <f t="shared" si="4"/>
        <v>2025</v>
      </c>
      <c r="R27" s="4">
        <f t="shared" si="5"/>
        <v>0.65514243480786893</v>
      </c>
      <c r="S27" s="3" t="str">
        <f t="shared" si="6"/>
        <v>Medium</v>
      </c>
    </row>
    <row r="28" spans="1:19" x14ac:dyDescent="0.25">
      <c r="A28" s="1">
        <v>45700</v>
      </c>
      <c r="B28" t="s">
        <v>43</v>
      </c>
      <c r="C28" t="s">
        <v>12</v>
      </c>
      <c r="D28" t="s">
        <v>48</v>
      </c>
      <c r="E28" s="2">
        <v>3</v>
      </c>
      <c r="F28" s="3">
        <v>24041.279999999999</v>
      </c>
      <c r="G28" s="3">
        <v>72123.839999999997</v>
      </c>
      <c r="H28" s="3">
        <v>40204.78</v>
      </c>
      <c r="I28" s="3">
        <v>31919.06</v>
      </c>
      <c r="J28" t="s">
        <v>32</v>
      </c>
      <c r="K28" t="s">
        <v>46</v>
      </c>
      <c r="L28">
        <f>tblRawBusinessData3[[#This Row],[Quantity]]*tblRawBusinessData3[[#This Row],[Unit_Price]]-tblRawBusinessData3[[#This Row],[Revenue]]</f>
        <v>0</v>
      </c>
      <c r="M28" s="3">
        <f t="shared" si="0"/>
        <v>0</v>
      </c>
      <c r="N28" s="3" t="str">
        <f t="shared" si="1"/>
        <v>Valid</v>
      </c>
      <c r="O28" s="3" t="str">
        <f t="shared" si="2"/>
        <v>Feb</v>
      </c>
      <c r="P28" s="3" t="str">
        <f t="shared" si="3"/>
        <v>Q1</v>
      </c>
      <c r="Q28">
        <f t="shared" si="4"/>
        <v>2025</v>
      </c>
      <c r="R28" s="4">
        <f t="shared" si="5"/>
        <v>0.44255907616677098</v>
      </c>
      <c r="S28" s="3" t="str">
        <f t="shared" si="6"/>
        <v>Large</v>
      </c>
    </row>
    <row r="29" spans="1:19" x14ac:dyDescent="0.25">
      <c r="A29" s="1">
        <v>45700</v>
      </c>
      <c r="B29" t="s">
        <v>24</v>
      </c>
      <c r="C29" t="s">
        <v>34</v>
      </c>
      <c r="D29" t="s">
        <v>49</v>
      </c>
      <c r="E29" s="2">
        <v>11</v>
      </c>
      <c r="F29" s="3">
        <v>2682.26</v>
      </c>
      <c r="G29" s="3">
        <v>29504.86</v>
      </c>
      <c r="H29" s="3">
        <v>23240.09</v>
      </c>
      <c r="I29" s="3">
        <v>6264.77</v>
      </c>
      <c r="J29" t="s">
        <v>27</v>
      </c>
      <c r="K29" t="s">
        <v>15</v>
      </c>
      <c r="L29">
        <f>tblRawBusinessData3[[#This Row],[Quantity]]*tblRawBusinessData3[[#This Row],[Unit_Price]]-tblRawBusinessData3[[#This Row],[Revenue]]</f>
        <v>0</v>
      </c>
      <c r="M29" s="3">
        <f t="shared" si="0"/>
        <v>0</v>
      </c>
      <c r="N29" s="3" t="str">
        <f t="shared" si="1"/>
        <v>Valid</v>
      </c>
      <c r="O29" s="3" t="str">
        <f t="shared" si="2"/>
        <v>Feb</v>
      </c>
      <c r="P29" s="3" t="str">
        <f t="shared" si="3"/>
        <v>Q1</v>
      </c>
      <c r="Q29">
        <f t="shared" si="4"/>
        <v>2025</v>
      </c>
      <c r="R29" s="4">
        <f t="shared" si="5"/>
        <v>0.21233010426078958</v>
      </c>
      <c r="S29" s="3" t="str">
        <f t="shared" si="6"/>
        <v>Medium</v>
      </c>
    </row>
    <row r="30" spans="1:19" x14ac:dyDescent="0.25">
      <c r="A30" s="1">
        <v>45702</v>
      </c>
      <c r="B30" t="s">
        <v>50</v>
      </c>
      <c r="C30" t="s">
        <v>21</v>
      </c>
      <c r="D30" t="s">
        <v>22</v>
      </c>
      <c r="E30" s="2">
        <v>6</v>
      </c>
      <c r="F30" s="3">
        <v>13955.2</v>
      </c>
      <c r="G30" s="3">
        <v>83731.199999999997</v>
      </c>
      <c r="H30" s="3">
        <v>63280.93</v>
      </c>
      <c r="I30" s="3">
        <v>20450.27</v>
      </c>
      <c r="J30" t="s">
        <v>14</v>
      </c>
      <c r="K30" t="s">
        <v>19</v>
      </c>
      <c r="L30">
        <f>tblRawBusinessData3[[#This Row],[Quantity]]*tblRawBusinessData3[[#This Row],[Unit_Price]]-tblRawBusinessData3[[#This Row],[Revenue]]</f>
        <v>0</v>
      </c>
      <c r="M30" s="3">
        <f t="shared" si="0"/>
        <v>0</v>
      </c>
      <c r="N30" s="3" t="str">
        <f t="shared" si="1"/>
        <v>Valid</v>
      </c>
      <c r="O30" s="3" t="str">
        <f t="shared" si="2"/>
        <v>Feb</v>
      </c>
      <c r="P30" s="3" t="str">
        <f t="shared" si="3"/>
        <v>Q1</v>
      </c>
      <c r="Q30">
        <f t="shared" si="4"/>
        <v>2025</v>
      </c>
      <c r="R30" s="4">
        <f t="shared" si="5"/>
        <v>0.24423715413131547</v>
      </c>
      <c r="S30" s="3" t="str">
        <f t="shared" si="6"/>
        <v>Large</v>
      </c>
    </row>
    <row r="31" spans="1:19" x14ac:dyDescent="0.25">
      <c r="A31" s="1">
        <v>45702</v>
      </c>
      <c r="B31" t="s">
        <v>51</v>
      </c>
      <c r="C31" t="s">
        <v>34</v>
      </c>
      <c r="D31" t="s">
        <v>52</v>
      </c>
      <c r="E31" s="2">
        <v>9</v>
      </c>
      <c r="F31" s="3">
        <v>2309.1</v>
      </c>
      <c r="G31" s="3">
        <v>20781.900000000001</v>
      </c>
      <c r="H31" s="3">
        <v>17199.990000000002</v>
      </c>
      <c r="I31" s="3">
        <v>3581.91</v>
      </c>
      <c r="J31" t="s">
        <v>32</v>
      </c>
      <c r="K31" t="s">
        <v>15</v>
      </c>
      <c r="L31">
        <f>tblRawBusinessData3[[#This Row],[Quantity]]*tblRawBusinessData3[[#This Row],[Unit_Price]]-tblRawBusinessData3[[#This Row],[Revenue]]</f>
        <v>0</v>
      </c>
      <c r="M31" s="3">
        <f t="shared" si="0"/>
        <v>0</v>
      </c>
      <c r="N31" s="3" t="str">
        <f t="shared" si="1"/>
        <v>Valid</v>
      </c>
      <c r="O31" s="3" t="str">
        <f t="shared" si="2"/>
        <v>Feb</v>
      </c>
      <c r="P31" s="3" t="str">
        <f t="shared" si="3"/>
        <v>Q1</v>
      </c>
      <c r="Q31">
        <f t="shared" si="4"/>
        <v>2025</v>
      </c>
      <c r="R31" s="4">
        <f t="shared" si="5"/>
        <v>0.1723571954441124</v>
      </c>
      <c r="S31" s="3" t="str">
        <f t="shared" si="6"/>
        <v>Medium</v>
      </c>
    </row>
    <row r="32" spans="1:19" x14ac:dyDescent="0.25">
      <c r="A32" s="1">
        <v>45705</v>
      </c>
      <c r="B32" t="s">
        <v>44</v>
      </c>
      <c r="C32" t="s">
        <v>25</v>
      </c>
      <c r="D32" t="s">
        <v>26</v>
      </c>
      <c r="E32" s="2">
        <v>2</v>
      </c>
      <c r="F32" s="3">
        <v>11867.74</v>
      </c>
      <c r="G32" s="3">
        <v>23735.48</v>
      </c>
      <c r="H32" s="3">
        <v>16191</v>
      </c>
      <c r="I32" s="3">
        <v>7544.48</v>
      </c>
      <c r="J32" t="s">
        <v>32</v>
      </c>
      <c r="K32" t="s">
        <v>19</v>
      </c>
      <c r="L32">
        <f>tblRawBusinessData3[[#This Row],[Quantity]]*tblRawBusinessData3[[#This Row],[Unit_Price]]-tblRawBusinessData3[[#This Row],[Revenue]]</f>
        <v>0</v>
      </c>
      <c r="M32" s="3">
        <f t="shared" si="0"/>
        <v>0</v>
      </c>
      <c r="N32" s="3" t="str">
        <f t="shared" si="1"/>
        <v>Valid</v>
      </c>
      <c r="O32" s="3" t="str">
        <f t="shared" si="2"/>
        <v>Feb</v>
      </c>
      <c r="P32" s="3" t="str">
        <f t="shared" si="3"/>
        <v>Q1</v>
      </c>
      <c r="Q32">
        <f t="shared" si="4"/>
        <v>2025</v>
      </c>
      <c r="R32" s="4">
        <f t="shared" si="5"/>
        <v>0.3178566433036113</v>
      </c>
      <c r="S32" s="3" t="str">
        <f t="shared" si="6"/>
        <v>Medium</v>
      </c>
    </row>
    <row r="33" spans="1:19" x14ac:dyDescent="0.25">
      <c r="A33" s="1">
        <v>45705</v>
      </c>
      <c r="B33" t="s">
        <v>20</v>
      </c>
      <c r="C33" t="s">
        <v>25</v>
      </c>
      <c r="D33" t="s">
        <v>31</v>
      </c>
      <c r="E33" s="2">
        <v>4</v>
      </c>
      <c r="F33" s="3">
        <v>16752.63</v>
      </c>
      <c r="G33" s="3">
        <v>67010.52</v>
      </c>
      <c r="H33" s="3">
        <v>40776.160000000003</v>
      </c>
      <c r="I33" s="3">
        <v>26234.36</v>
      </c>
      <c r="J33" t="s">
        <v>14</v>
      </c>
      <c r="K33" t="s">
        <v>15</v>
      </c>
      <c r="L33">
        <f>tblRawBusinessData3[[#This Row],[Quantity]]*tblRawBusinessData3[[#This Row],[Unit_Price]]-tblRawBusinessData3[[#This Row],[Revenue]]</f>
        <v>0</v>
      </c>
      <c r="M33" s="3">
        <f t="shared" si="0"/>
        <v>0</v>
      </c>
      <c r="N33" s="3" t="str">
        <f t="shared" si="1"/>
        <v>Valid</v>
      </c>
      <c r="O33" s="3" t="str">
        <f t="shared" si="2"/>
        <v>Feb</v>
      </c>
      <c r="P33" s="3" t="str">
        <f t="shared" si="3"/>
        <v>Q1</v>
      </c>
      <c r="Q33">
        <f t="shared" si="4"/>
        <v>2025</v>
      </c>
      <c r="R33" s="4">
        <f t="shared" si="5"/>
        <v>0.39149614120290366</v>
      </c>
      <c r="S33" s="3" t="str">
        <f t="shared" si="6"/>
        <v>Large</v>
      </c>
    </row>
    <row r="34" spans="1:19" x14ac:dyDescent="0.25">
      <c r="A34" s="1">
        <v>45709</v>
      </c>
      <c r="B34" t="s">
        <v>16</v>
      </c>
      <c r="C34" t="s">
        <v>12</v>
      </c>
      <c r="D34" t="s">
        <v>17</v>
      </c>
      <c r="E34" s="2">
        <v>2</v>
      </c>
      <c r="F34" s="3">
        <v>2734.85</v>
      </c>
      <c r="G34" s="3">
        <v>5469.7</v>
      </c>
      <c r="H34" s="3">
        <v>3431.54</v>
      </c>
      <c r="I34" s="3">
        <v>2038.16</v>
      </c>
      <c r="J34" t="s">
        <v>27</v>
      </c>
      <c r="K34" t="s">
        <v>30</v>
      </c>
      <c r="L34">
        <f>tblRawBusinessData3[[#This Row],[Quantity]]*tblRawBusinessData3[[#This Row],[Unit_Price]]-tblRawBusinessData3[[#This Row],[Revenue]]</f>
        <v>0</v>
      </c>
      <c r="M34" s="3">
        <f t="shared" ref="M34:M65" si="7">G34-H34-I34</f>
        <v>0</v>
      </c>
      <c r="N34" s="3" t="str">
        <f t="shared" ref="N34:N65" si="8">IF(H34&lt;G34,"Valid","Check")</f>
        <v>Valid</v>
      </c>
      <c r="O34" s="3" t="str">
        <f t="shared" ref="O34:O65" si="9">TEXT(A34,"mmm")</f>
        <v>Feb</v>
      </c>
      <c r="P34" s="3" t="str">
        <f t="shared" ref="P34:P65" si="10">"Q"&amp;ROUNDUP(MONTH(A34)/3,0)</f>
        <v>Q1</v>
      </c>
      <c r="Q34">
        <f t="shared" ref="Q34:Q65" si="11">YEAR(A34)</f>
        <v>2025</v>
      </c>
      <c r="R34" s="4">
        <f t="shared" ref="R34:R65" si="12">I34/G34</f>
        <v>0.37262738358593711</v>
      </c>
      <c r="S34" s="3" t="str">
        <f t="shared" ref="S34:S65" si="13">IF(G34&lt;10000,"Small",IF(G34&lt;30000,"Medium","Large"))</f>
        <v>Small</v>
      </c>
    </row>
    <row r="35" spans="1:19" x14ac:dyDescent="0.25">
      <c r="A35" s="1">
        <v>45709</v>
      </c>
      <c r="B35" t="s">
        <v>16</v>
      </c>
      <c r="C35" t="s">
        <v>34</v>
      </c>
      <c r="D35" t="s">
        <v>52</v>
      </c>
      <c r="E35" s="2">
        <v>12</v>
      </c>
      <c r="F35" s="3">
        <v>1039.3800000000001</v>
      </c>
      <c r="G35" s="3">
        <v>12472.56</v>
      </c>
      <c r="H35" s="3">
        <v>9277.98</v>
      </c>
      <c r="I35" s="3">
        <v>3194.58</v>
      </c>
      <c r="J35" t="s">
        <v>29</v>
      </c>
      <c r="K35" t="s">
        <v>46</v>
      </c>
      <c r="L35">
        <f>tblRawBusinessData3[[#This Row],[Quantity]]*tblRawBusinessData3[[#This Row],[Unit_Price]]-tblRawBusinessData3[[#This Row],[Revenue]]</f>
        <v>0</v>
      </c>
      <c r="M35" s="3">
        <f t="shared" si="7"/>
        <v>0</v>
      </c>
      <c r="N35" s="3" t="str">
        <f t="shared" si="8"/>
        <v>Valid</v>
      </c>
      <c r="O35" s="3" t="str">
        <f t="shared" si="9"/>
        <v>Feb</v>
      </c>
      <c r="P35" s="3" t="str">
        <f t="shared" si="10"/>
        <v>Q1</v>
      </c>
      <c r="Q35">
        <f t="shared" si="11"/>
        <v>2025</v>
      </c>
      <c r="R35" s="4">
        <f t="shared" si="12"/>
        <v>0.25612865362042758</v>
      </c>
      <c r="S35" s="3" t="str">
        <f t="shared" si="13"/>
        <v>Medium</v>
      </c>
    </row>
    <row r="36" spans="1:19" x14ac:dyDescent="0.25">
      <c r="A36" s="1">
        <v>45710</v>
      </c>
      <c r="B36" t="s">
        <v>53</v>
      </c>
      <c r="C36" t="s">
        <v>34</v>
      </c>
      <c r="D36" t="s">
        <v>52</v>
      </c>
      <c r="E36" s="2">
        <v>15</v>
      </c>
      <c r="F36" s="3">
        <v>2302.1799999999998</v>
      </c>
      <c r="G36" s="3">
        <v>34532.699999999997</v>
      </c>
      <c r="H36" s="3">
        <v>28474.47</v>
      </c>
      <c r="I36" s="3">
        <v>6058.23</v>
      </c>
      <c r="J36" t="s">
        <v>32</v>
      </c>
      <c r="K36" t="s">
        <v>15</v>
      </c>
      <c r="L36">
        <f>tblRawBusinessData3[[#This Row],[Quantity]]*tblRawBusinessData3[[#This Row],[Unit_Price]]-tblRawBusinessData3[[#This Row],[Revenue]]</f>
        <v>0</v>
      </c>
      <c r="M36" s="3">
        <f t="shared" si="7"/>
        <v>0</v>
      </c>
      <c r="N36" s="3" t="str">
        <f t="shared" si="8"/>
        <v>Valid</v>
      </c>
      <c r="O36" s="3" t="str">
        <f t="shared" si="9"/>
        <v>Feb</v>
      </c>
      <c r="P36" s="3" t="str">
        <f t="shared" si="10"/>
        <v>Q1</v>
      </c>
      <c r="Q36">
        <f t="shared" si="11"/>
        <v>2025</v>
      </c>
      <c r="R36" s="4">
        <f t="shared" si="12"/>
        <v>0.17543458808607493</v>
      </c>
      <c r="S36" s="3" t="str">
        <f t="shared" si="13"/>
        <v>Large</v>
      </c>
    </row>
    <row r="37" spans="1:19" x14ac:dyDescent="0.25">
      <c r="A37" s="1">
        <v>45711</v>
      </c>
      <c r="B37" t="s">
        <v>20</v>
      </c>
      <c r="C37" t="s">
        <v>25</v>
      </c>
      <c r="D37" t="s">
        <v>31</v>
      </c>
      <c r="E37" s="2">
        <v>3</v>
      </c>
      <c r="F37" s="3">
        <v>19294.939999999999</v>
      </c>
      <c r="G37" s="3">
        <v>57884.82</v>
      </c>
      <c r="H37" s="3">
        <v>36961.5</v>
      </c>
      <c r="I37" s="3">
        <v>20923.32</v>
      </c>
      <c r="J37" t="s">
        <v>32</v>
      </c>
      <c r="K37" t="s">
        <v>30</v>
      </c>
      <c r="L37">
        <f>tblRawBusinessData3[[#This Row],[Quantity]]*tblRawBusinessData3[[#This Row],[Unit_Price]]-tblRawBusinessData3[[#This Row],[Revenue]]</f>
        <v>0</v>
      </c>
      <c r="M37" s="3">
        <f t="shared" si="7"/>
        <v>0</v>
      </c>
      <c r="N37" s="3" t="str">
        <f t="shared" si="8"/>
        <v>Valid</v>
      </c>
      <c r="O37" s="3" t="str">
        <f t="shared" si="9"/>
        <v>Feb</v>
      </c>
      <c r="P37" s="3" t="str">
        <f t="shared" si="10"/>
        <v>Q1</v>
      </c>
      <c r="Q37">
        <f t="shared" si="11"/>
        <v>2025</v>
      </c>
      <c r="R37" s="4">
        <f t="shared" si="12"/>
        <v>0.3614647156197428</v>
      </c>
      <c r="S37" s="3" t="str">
        <f t="shared" si="13"/>
        <v>Large</v>
      </c>
    </row>
    <row r="38" spans="1:19" x14ac:dyDescent="0.25">
      <c r="A38" s="1">
        <v>45712</v>
      </c>
      <c r="B38" t="s">
        <v>11</v>
      </c>
      <c r="C38" t="s">
        <v>25</v>
      </c>
      <c r="D38" t="s">
        <v>28</v>
      </c>
      <c r="E38" s="2">
        <v>3</v>
      </c>
      <c r="F38" s="3">
        <v>20644.71</v>
      </c>
      <c r="G38" s="3">
        <v>61934.13</v>
      </c>
      <c r="H38" s="3">
        <v>39082.720000000001</v>
      </c>
      <c r="I38" s="3">
        <v>22851.41</v>
      </c>
      <c r="J38" t="s">
        <v>14</v>
      </c>
      <c r="K38" t="s">
        <v>46</v>
      </c>
      <c r="L38">
        <f>tblRawBusinessData3[[#This Row],[Quantity]]*tblRawBusinessData3[[#This Row],[Unit_Price]]-tblRawBusinessData3[[#This Row],[Revenue]]</f>
        <v>0</v>
      </c>
      <c r="M38" s="3">
        <f t="shared" si="7"/>
        <v>0</v>
      </c>
      <c r="N38" s="3" t="str">
        <f t="shared" si="8"/>
        <v>Valid</v>
      </c>
      <c r="O38" s="3" t="str">
        <f t="shared" si="9"/>
        <v>Feb</v>
      </c>
      <c r="P38" s="3" t="str">
        <f t="shared" si="10"/>
        <v>Q1</v>
      </c>
      <c r="Q38">
        <f t="shared" si="11"/>
        <v>2025</v>
      </c>
      <c r="R38" s="4">
        <f t="shared" si="12"/>
        <v>0.36896312259492464</v>
      </c>
      <c r="S38" s="3" t="str">
        <f t="shared" si="13"/>
        <v>Large</v>
      </c>
    </row>
    <row r="39" spans="1:19" x14ac:dyDescent="0.25">
      <c r="A39" s="1">
        <v>45712</v>
      </c>
      <c r="B39" t="s">
        <v>43</v>
      </c>
      <c r="C39" t="s">
        <v>21</v>
      </c>
      <c r="D39" t="s">
        <v>54</v>
      </c>
      <c r="E39" s="2">
        <v>5</v>
      </c>
      <c r="F39" s="3">
        <v>8081.31</v>
      </c>
      <c r="G39" s="3">
        <v>40406.550000000003</v>
      </c>
      <c r="H39" s="3">
        <v>31702.25</v>
      </c>
      <c r="I39" s="3">
        <v>8704.2999999999993</v>
      </c>
      <c r="J39" t="s">
        <v>32</v>
      </c>
      <c r="K39" t="s">
        <v>30</v>
      </c>
      <c r="L39">
        <f>tblRawBusinessData3[[#This Row],[Quantity]]*tblRawBusinessData3[[#This Row],[Unit_Price]]-tblRawBusinessData3[[#This Row],[Revenue]]</f>
        <v>0</v>
      </c>
      <c r="M39" s="3">
        <f t="shared" si="7"/>
        <v>0</v>
      </c>
      <c r="N39" s="3" t="str">
        <f t="shared" si="8"/>
        <v>Valid</v>
      </c>
      <c r="O39" s="3" t="str">
        <f t="shared" si="9"/>
        <v>Feb</v>
      </c>
      <c r="P39" s="3" t="str">
        <f t="shared" si="10"/>
        <v>Q1</v>
      </c>
      <c r="Q39">
        <f t="shared" si="11"/>
        <v>2025</v>
      </c>
      <c r="R39" s="4">
        <f t="shared" si="12"/>
        <v>0.21541804484668942</v>
      </c>
      <c r="S39" s="3" t="str">
        <f t="shared" si="13"/>
        <v>Large</v>
      </c>
    </row>
    <row r="40" spans="1:19" x14ac:dyDescent="0.25">
      <c r="A40" s="1">
        <v>45716</v>
      </c>
      <c r="B40" t="s">
        <v>24</v>
      </c>
      <c r="C40" t="s">
        <v>34</v>
      </c>
      <c r="D40" t="s">
        <v>49</v>
      </c>
      <c r="E40" s="2">
        <v>5</v>
      </c>
      <c r="F40" s="3">
        <v>2291.61</v>
      </c>
      <c r="G40" s="3">
        <v>11458.05</v>
      </c>
      <c r="H40" s="3">
        <v>8656</v>
      </c>
      <c r="I40" s="3">
        <v>2802.05</v>
      </c>
      <c r="J40" t="s">
        <v>18</v>
      </c>
      <c r="K40" t="s">
        <v>15</v>
      </c>
      <c r="L40">
        <f>tblRawBusinessData3[[#This Row],[Quantity]]*tblRawBusinessData3[[#This Row],[Unit_Price]]-tblRawBusinessData3[[#This Row],[Revenue]]</f>
        <v>0</v>
      </c>
      <c r="M40" s="3">
        <f t="shared" si="7"/>
        <v>0</v>
      </c>
      <c r="N40" s="3" t="str">
        <f t="shared" si="8"/>
        <v>Valid</v>
      </c>
      <c r="O40" s="3" t="str">
        <f t="shared" si="9"/>
        <v>Feb</v>
      </c>
      <c r="P40" s="3" t="str">
        <f t="shared" si="10"/>
        <v>Q1</v>
      </c>
      <c r="Q40">
        <f t="shared" si="11"/>
        <v>2025</v>
      </c>
      <c r="R40" s="4">
        <f t="shared" si="12"/>
        <v>0.24454859247428667</v>
      </c>
      <c r="S40" s="3" t="str">
        <f t="shared" si="13"/>
        <v>Medium</v>
      </c>
    </row>
    <row r="41" spans="1:19" x14ac:dyDescent="0.25">
      <c r="A41" s="1">
        <v>45717</v>
      </c>
      <c r="B41" t="s">
        <v>24</v>
      </c>
      <c r="C41" t="s">
        <v>21</v>
      </c>
      <c r="D41" t="s">
        <v>54</v>
      </c>
      <c r="E41" s="2">
        <v>6</v>
      </c>
      <c r="F41" s="3">
        <v>8040.15</v>
      </c>
      <c r="G41" s="3">
        <v>48240.9</v>
      </c>
      <c r="H41" s="3">
        <v>34656.44</v>
      </c>
      <c r="I41" s="3">
        <v>13584.46</v>
      </c>
      <c r="J41" t="s">
        <v>27</v>
      </c>
      <c r="K41" t="s">
        <v>30</v>
      </c>
      <c r="L41">
        <f>tblRawBusinessData3[[#This Row],[Quantity]]*tblRawBusinessData3[[#This Row],[Unit_Price]]-tblRawBusinessData3[[#This Row],[Revenue]]</f>
        <v>0</v>
      </c>
      <c r="M41" s="3">
        <f t="shared" si="7"/>
        <v>0</v>
      </c>
      <c r="N41" s="3" t="str">
        <f t="shared" si="8"/>
        <v>Valid</v>
      </c>
      <c r="O41" s="3" t="str">
        <f t="shared" si="9"/>
        <v>Mar</v>
      </c>
      <c r="P41" s="3" t="str">
        <f t="shared" si="10"/>
        <v>Q1</v>
      </c>
      <c r="Q41">
        <f t="shared" si="11"/>
        <v>2025</v>
      </c>
      <c r="R41" s="4">
        <f t="shared" si="12"/>
        <v>0.28159632179333299</v>
      </c>
      <c r="S41" s="3" t="str">
        <f t="shared" si="13"/>
        <v>Large</v>
      </c>
    </row>
    <row r="42" spans="1:19" x14ac:dyDescent="0.25">
      <c r="A42" s="1">
        <v>45718</v>
      </c>
      <c r="B42" t="s">
        <v>36</v>
      </c>
      <c r="C42" t="s">
        <v>25</v>
      </c>
      <c r="D42" t="s">
        <v>28</v>
      </c>
      <c r="E42" s="2">
        <v>1</v>
      </c>
      <c r="F42" s="3">
        <v>36476.699999999997</v>
      </c>
      <c r="G42" s="3">
        <v>36476.699999999997</v>
      </c>
      <c r="H42" s="3">
        <v>20252.490000000002</v>
      </c>
      <c r="I42" s="3">
        <v>16224.21</v>
      </c>
      <c r="J42" t="s">
        <v>18</v>
      </c>
      <c r="K42" t="s">
        <v>30</v>
      </c>
      <c r="L42">
        <f>tblRawBusinessData3[[#This Row],[Quantity]]*tblRawBusinessData3[[#This Row],[Unit_Price]]-tblRawBusinessData3[[#This Row],[Revenue]]</f>
        <v>0</v>
      </c>
      <c r="M42" s="3">
        <f t="shared" si="7"/>
        <v>0</v>
      </c>
      <c r="N42" s="3" t="str">
        <f t="shared" si="8"/>
        <v>Valid</v>
      </c>
      <c r="O42" s="3" t="str">
        <f t="shared" si="9"/>
        <v>Mar</v>
      </c>
      <c r="P42" s="3" t="str">
        <f t="shared" si="10"/>
        <v>Q1</v>
      </c>
      <c r="Q42">
        <f t="shared" si="11"/>
        <v>2025</v>
      </c>
      <c r="R42" s="4">
        <f t="shared" si="12"/>
        <v>0.44478283397346802</v>
      </c>
      <c r="S42" s="3" t="str">
        <f t="shared" si="13"/>
        <v>Large</v>
      </c>
    </row>
    <row r="43" spans="1:19" x14ac:dyDescent="0.25">
      <c r="A43" s="1">
        <v>45721</v>
      </c>
      <c r="B43" t="s">
        <v>41</v>
      </c>
      <c r="C43" t="s">
        <v>12</v>
      </c>
      <c r="D43" t="s">
        <v>48</v>
      </c>
      <c r="E43" s="2">
        <v>3</v>
      </c>
      <c r="F43" s="3">
        <v>34458.33</v>
      </c>
      <c r="G43" s="3">
        <v>103374.99</v>
      </c>
      <c r="H43" s="3">
        <v>63705.72</v>
      </c>
      <c r="I43" s="3">
        <v>39669.269999999997</v>
      </c>
      <c r="J43" t="s">
        <v>32</v>
      </c>
      <c r="K43" t="s">
        <v>19</v>
      </c>
      <c r="L43">
        <f>tblRawBusinessData3[[#This Row],[Quantity]]*tblRawBusinessData3[[#This Row],[Unit_Price]]-tblRawBusinessData3[[#This Row],[Revenue]]</f>
        <v>0</v>
      </c>
      <c r="M43" s="3">
        <f t="shared" si="7"/>
        <v>0</v>
      </c>
      <c r="N43" s="3" t="str">
        <f t="shared" si="8"/>
        <v>Valid</v>
      </c>
      <c r="O43" s="3" t="str">
        <f t="shared" si="9"/>
        <v>Mar</v>
      </c>
      <c r="P43" s="3" t="str">
        <f t="shared" si="10"/>
        <v>Q1</v>
      </c>
      <c r="Q43">
        <f t="shared" si="11"/>
        <v>2025</v>
      </c>
      <c r="R43" s="4">
        <f t="shared" si="12"/>
        <v>0.38374146396531689</v>
      </c>
      <c r="S43" s="3" t="str">
        <f t="shared" si="13"/>
        <v>Large</v>
      </c>
    </row>
    <row r="44" spans="1:19" x14ac:dyDescent="0.25">
      <c r="A44" s="1">
        <v>45723</v>
      </c>
      <c r="B44" t="s">
        <v>20</v>
      </c>
      <c r="C44" t="s">
        <v>25</v>
      </c>
      <c r="D44" t="s">
        <v>28</v>
      </c>
      <c r="E44" s="2">
        <v>1</v>
      </c>
      <c r="F44" s="3">
        <v>31112.95</v>
      </c>
      <c r="G44" s="3">
        <v>31112.95</v>
      </c>
      <c r="H44" s="3">
        <v>17374.689999999999</v>
      </c>
      <c r="I44" s="3">
        <v>13738.26</v>
      </c>
      <c r="J44" t="s">
        <v>18</v>
      </c>
      <c r="K44" t="s">
        <v>15</v>
      </c>
      <c r="L44">
        <f>tblRawBusinessData3[[#This Row],[Quantity]]*tblRawBusinessData3[[#This Row],[Unit_Price]]-tblRawBusinessData3[[#This Row],[Revenue]]</f>
        <v>0</v>
      </c>
      <c r="M44" s="3">
        <f t="shared" si="7"/>
        <v>0</v>
      </c>
      <c r="N44" s="3" t="str">
        <f t="shared" si="8"/>
        <v>Valid</v>
      </c>
      <c r="O44" s="3" t="str">
        <f t="shared" si="9"/>
        <v>Mar</v>
      </c>
      <c r="P44" s="3" t="str">
        <f t="shared" si="10"/>
        <v>Q1</v>
      </c>
      <c r="Q44">
        <f t="shared" si="11"/>
        <v>2025</v>
      </c>
      <c r="R44" s="4">
        <f t="shared" si="12"/>
        <v>0.44156082917241857</v>
      </c>
      <c r="S44" s="3" t="str">
        <f t="shared" si="13"/>
        <v>Large</v>
      </c>
    </row>
    <row r="45" spans="1:19" x14ac:dyDescent="0.25">
      <c r="A45" s="1">
        <v>45725</v>
      </c>
      <c r="B45" t="s">
        <v>11</v>
      </c>
      <c r="C45" t="s">
        <v>12</v>
      </c>
      <c r="D45" t="s">
        <v>17</v>
      </c>
      <c r="E45" s="2">
        <v>2</v>
      </c>
      <c r="F45" s="3">
        <v>7307.16</v>
      </c>
      <c r="G45" s="3">
        <v>14614.32</v>
      </c>
      <c r="H45" s="3">
        <v>9007.41</v>
      </c>
      <c r="I45" s="3">
        <v>5606.91</v>
      </c>
      <c r="J45" t="s">
        <v>32</v>
      </c>
      <c r="K45" t="s">
        <v>30</v>
      </c>
      <c r="L45">
        <f>tblRawBusinessData3[[#This Row],[Quantity]]*tblRawBusinessData3[[#This Row],[Unit_Price]]-tblRawBusinessData3[[#This Row],[Revenue]]</f>
        <v>0</v>
      </c>
      <c r="M45" s="3">
        <f t="shared" si="7"/>
        <v>0</v>
      </c>
      <c r="N45" s="3" t="str">
        <f t="shared" si="8"/>
        <v>Valid</v>
      </c>
      <c r="O45" s="3" t="str">
        <f t="shared" si="9"/>
        <v>Mar</v>
      </c>
      <c r="P45" s="3" t="str">
        <f t="shared" si="10"/>
        <v>Q1</v>
      </c>
      <c r="Q45">
        <f t="shared" si="11"/>
        <v>2025</v>
      </c>
      <c r="R45" s="4">
        <f t="shared" si="12"/>
        <v>0.3836586307128898</v>
      </c>
      <c r="S45" s="3" t="str">
        <f t="shared" si="13"/>
        <v>Medium</v>
      </c>
    </row>
    <row r="46" spans="1:19" x14ac:dyDescent="0.25">
      <c r="A46" s="1">
        <v>45727</v>
      </c>
      <c r="B46" t="s">
        <v>39</v>
      </c>
      <c r="C46" t="s">
        <v>25</v>
      </c>
      <c r="D46" t="s">
        <v>26</v>
      </c>
      <c r="E46" s="2">
        <v>1</v>
      </c>
      <c r="F46" s="3">
        <v>27500.93</v>
      </c>
      <c r="G46" s="3">
        <v>27500.93</v>
      </c>
      <c r="H46" s="3">
        <v>16325.59</v>
      </c>
      <c r="I46" s="3">
        <v>11175.34</v>
      </c>
      <c r="J46" t="s">
        <v>27</v>
      </c>
      <c r="K46" t="s">
        <v>15</v>
      </c>
      <c r="L46">
        <f>tblRawBusinessData3[[#This Row],[Quantity]]*tblRawBusinessData3[[#This Row],[Unit_Price]]-tblRawBusinessData3[[#This Row],[Revenue]]</f>
        <v>0</v>
      </c>
      <c r="M46" s="3">
        <f t="shared" si="7"/>
        <v>0</v>
      </c>
      <c r="N46" s="3" t="str">
        <f t="shared" si="8"/>
        <v>Valid</v>
      </c>
      <c r="O46" s="3" t="str">
        <f t="shared" si="9"/>
        <v>Mar</v>
      </c>
      <c r="P46" s="3" t="str">
        <f t="shared" si="10"/>
        <v>Q1</v>
      </c>
      <c r="Q46">
        <f t="shared" si="11"/>
        <v>2025</v>
      </c>
      <c r="R46" s="4">
        <f t="shared" si="12"/>
        <v>0.40636225756728955</v>
      </c>
      <c r="S46" s="3" t="str">
        <f t="shared" si="13"/>
        <v>Medium</v>
      </c>
    </row>
    <row r="47" spans="1:19" x14ac:dyDescent="0.25">
      <c r="A47" s="1">
        <v>45727</v>
      </c>
      <c r="B47" t="s">
        <v>20</v>
      </c>
      <c r="C47" t="s">
        <v>37</v>
      </c>
      <c r="D47" t="s">
        <v>45</v>
      </c>
      <c r="E47" s="2">
        <v>1</v>
      </c>
      <c r="F47" s="3">
        <v>20372.240000000002</v>
      </c>
      <c r="G47" s="3">
        <v>20372.240000000002</v>
      </c>
      <c r="H47" s="3">
        <v>9212.59</v>
      </c>
      <c r="I47" s="3">
        <v>11159.65</v>
      </c>
      <c r="J47" t="s">
        <v>29</v>
      </c>
      <c r="K47" t="s">
        <v>46</v>
      </c>
      <c r="L47">
        <f>tblRawBusinessData3[[#This Row],[Quantity]]*tblRawBusinessData3[[#This Row],[Unit_Price]]-tblRawBusinessData3[[#This Row],[Revenue]]</f>
        <v>0</v>
      </c>
      <c r="M47" s="3">
        <f t="shared" si="7"/>
        <v>0</v>
      </c>
      <c r="N47" s="3" t="str">
        <f t="shared" si="8"/>
        <v>Valid</v>
      </c>
      <c r="O47" s="3" t="str">
        <f t="shared" si="9"/>
        <v>Mar</v>
      </c>
      <c r="P47" s="3" t="str">
        <f t="shared" si="10"/>
        <v>Q1</v>
      </c>
      <c r="Q47">
        <f t="shared" si="11"/>
        <v>2025</v>
      </c>
      <c r="R47" s="4">
        <f t="shared" si="12"/>
        <v>0.54778708674156595</v>
      </c>
      <c r="S47" s="3" t="str">
        <f t="shared" si="13"/>
        <v>Medium</v>
      </c>
    </row>
    <row r="48" spans="1:19" x14ac:dyDescent="0.25">
      <c r="A48" s="1">
        <v>45728</v>
      </c>
      <c r="B48" t="s">
        <v>33</v>
      </c>
      <c r="C48" t="s">
        <v>37</v>
      </c>
      <c r="D48" t="s">
        <v>45</v>
      </c>
      <c r="E48" s="2">
        <v>1</v>
      </c>
      <c r="F48" s="3">
        <v>16472.55</v>
      </c>
      <c r="G48" s="3">
        <v>16472.55</v>
      </c>
      <c r="H48" s="3">
        <v>6663.33</v>
      </c>
      <c r="I48" s="3">
        <v>9809.2199999999993</v>
      </c>
      <c r="J48" t="s">
        <v>14</v>
      </c>
      <c r="K48" t="s">
        <v>46</v>
      </c>
      <c r="L48">
        <f>tblRawBusinessData3[[#This Row],[Quantity]]*tblRawBusinessData3[[#This Row],[Unit_Price]]-tblRawBusinessData3[[#This Row],[Revenue]]</f>
        <v>0</v>
      </c>
      <c r="M48" s="3">
        <f t="shared" si="7"/>
        <v>0</v>
      </c>
      <c r="N48" s="3" t="str">
        <f t="shared" si="8"/>
        <v>Valid</v>
      </c>
      <c r="O48" s="3" t="str">
        <f t="shared" si="9"/>
        <v>Mar</v>
      </c>
      <c r="P48" s="3" t="str">
        <f t="shared" si="10"/>
        <v>Q1</v>
      </c>
      <c r="Q48">
        <f t="shared" si="11"/>
        <v>2025</v>
      </c>
      <c r="R48" s="4">
        <f t="shared" si="12"/>
        <v>0.59548885873771817</v>
      </c>
      <c r="S48" s="3" t="str">
        <f t="shared" si="13"/>
        <v>Medium</v>
      </c>
    </row>
    <row r="49" spans="1:19" x14ac:dyDescent="0.25">
      <c r="A49" s="1">
        <v>45730</v>
      </c>
      <c r="B49" t="s">
        <v>44</v>
      </c>
      <c r="C49" t="s">
        <v>25</v>
      </c>
      <c r="D49" t="s">
        <v>31</v>
      </c>
      <c r="E49" s="2">
        <v>4</v>
      </c>
      <c r="F49" s="3">
        <v>6551.47</v>
      </c>
      <c r="G49" s="3">
        <v>26205.88</v>
      </c>
      <c r="H49" s="3">
        <v>13554.36</v>
      </c>
      <c r="I49" s="3">
        <v>12651.52</v>
      </c>
      <c r="J49" t="s">
        <v>29</v>
      </c>
      <c r="K49" t="s">
        <v>46</v>
      </c>
      <c r="L49">
        <f>tblRawBusinessData3[[#This Row],[Quantity]]*tblRawBusinessData3[[#This Row],[Unit_Price]]-tblRawBusinessData3[[#This Row],[Revenue]]</f>
        <v>0</v>
      </c>
      <c r="M49" s="3">
        <f t="shared" si="7"/>
        <v>0</v>
      </c>
      <c r="N49" s="3" t="str">
        <f t="shared" si="8"/>
        <v>Valid</v>
      </c>
      <c r="O49" s="3" t="str">
        <f t="shared" si="9"/>
        <v>Mar</v>
      </c>
      <c r="P49" s="3" t="str">
        <f t="shared" si="10"/>
        <v>Q1</v>
      </c>
      <c r="Q49">
        <f t="shared" si="11"/>
        <v>2025</v>
      </c>
      <c r="R49" s="4">
        <f t="shared" si="12"/>
        <v>0.48277409497410506</v>
      </c>
      <c r="S49" s="3" t="str">
        <f t="shared" si="13"/>
        <v>Medium</v>
      </c>
    </row>
    <row r="50" spans="1:19" x14ac:dyDescent="0.25">
      <c r="A50" s="1">
        <v>45732</v>
      </c>
      <c r="B50" t="s">
        <v>44</v>
      </c>
      <c r="C50" t="s">
        <v>25</v>
      </c>
      <c r="D50" t="s">
        <v>28</v>
      </c>
      <c r="E50" s="2">
        <v>2</v>
      </c>
      <c r="F50" s="3">
        <v>35911.31</v>
      </c>
      <c r="G50" s="3">
        <v>71822.62</v>
      </c>
      <c r="H50" s="3">
        <v>46348.67</v>
      </c>
      <c r="I50" s="3">
        <v>25473.95</v>
      </c>
      <c r="J50" t="s">
        <v>32</v>
      </c>
      <c r="K50" t="s">
        <v>46</v>
      </c>
      <c r="L50">
        <f>tblRawBusinessData3[[#This Row],[Quantity]]*tblRawBusinessData3[[#This Row],[Unit_Price]]-tblRawBusinessData3[[#This Row],[Revenue]]</f>
        <v>0</v>
      </c>
      <c r="M50" s="3">
        <f t="shared" si="7"/>
        <v>0</v>
      </c>
      <c r="N50" s="3" t="str">
        <f t="shared" si="8"/>
        <v>Valid</v>
      </c>
      <c r="O50" s="3" t="str">
        <f t="shared" si="9"/>
        <v>Mar</v>
      </c>
      <c r="P50" s="3" t="str">
        <f t="shared" si="10"/>
        <v>Q1</v>
      </c>
      <c r="Q50">
        <f t="shared" si="11"/>
        <v>2025</v>
      </c>
      <c r="R50" s="4">
        <f t="shared" si="12"/>
        <v>0.35467865137751869</v>
      </c>
      <c r="S50" s="3" t="str">
        <f t="shared" si="13"/>
        <v>Large</v>
      </c>
    </row>
    <row r="51" spans="1:19" x14ac:dyDescent="0.25">
      <c r="A51" s="1">
        <v>45735</v>
      </c>
      <c r="B51" t="s">
        <v>41</v>
      </c>
      <c r="C51" t="s">
        <v>12</v>
      </c>
      <c r="D51" t="s">
        <v>17</v>
      </c>
      <c r="E51" s="2">
        <v>4</v>
      </c>
      <c r="F51" s="3">
        <v>6208.65</v>
      </c>
      <c r="G51" s="3">
        <v>24834.6</v>
      </c>
      <c r="H51" s="3">
        <v>12552.68</v>
      </c>
      <c r="I51" s="3">
        <v>12281.92</v>
      </c>
      <c r="J51" t="s">
        <v>27</v>
      </c>
      <c r="K51" t="s">
        <v>30</v>
      </c>
      <c r="L51">
        <f>tblRawBusinessData3[[#This Row],[Quantity]]*tblRawBusinessData3[[#This Row],[Unit_Price]]-tblRawBusinessData3[[#This Row],[Revenue]]</f>
        <v>0</v>
      </c>
      <c r="M51" s="3">
        <f t="shared" si="7"/>
        <v>0</v>
      </c>
      <c r="N51" s="3" t="str">
        <f t="shared" si="8"/>
        <v>Valid</v>
      </c>
      <c r="O51" s="3" t="str">
        <f t="shared" si="9"/>
        <v>Mar</v>
      </c>
      <c r="P51" s="3" t="str">
        <f t="shared" si="10"/>
        <v>Q1</v>
      </c>
      <c r="Q51">
        <f t="shared" si="11"/>
        <v>2025</v>
      </c>
      <c r="R51" s="4">
        <f t="shared" si="12"/>
        <v>0.49454873442696884</v>
      </c>
      <c r="S51" s="3" t="str">
        <f t="shared" si="13"/>
        <v>Medium</v>
      </c>
    </row>
    <row r="52" spans="1:19" x14ac:dyDescent="0.25">
      <c r="A52" s="1">
        <v>45736</v>
      </c>
      <c r="B52" t="s">
        <v>33</v>
      </c>
      <c r="C52" t="s">
        <v>34</v>
      </c>
      <c r="D52" t="s">
        <v>35</v>
      </c>
      <c r="E52" s="2">
        <v>1</v>
      </c>
      <c r="F52" s="3">
        <v>1236.9000000000001</v>
      </c>
      <c r="G52" s="3">
        <v>1236.9000000000001</v>
      </c>
      <c r="H52" s="3">
        <v>950.22</v>
      </c>
      <c r="I52" s="3">
        <v>286.68</v>
      </c>
      <c r="J52" t="s">
        <v>14</v>
      </c>
      <c r="K52" t="s">
        <v>15</v>
      </c>
      <c r="L52">
        <f>tblRawBusinessData3[[#This Row],[Quantity]]*tblRawBusinessData3[[#This Row],[Unit_Price]]-tblRawBusinessData3[[#This Row],[Revenue]]</f>
        <v>0</v>
      </c>
      <c r="M52" s="3">
        <f t="shared" si="7"/>
        <v>0</v>
      </c>
      <c r="N52" s="3" t="str">
        <f t="shared" si="8"/>
        <v>Valid</v>
      </c>
      <c r="O52" s="3" t="str">
        <f t="shared" si="9"/>
        <v>Mar</v>
      </c>
      <c r="P52" s="3" t="str">
        <f t="shared" si="10"/>
        <v>Q1</v>
      </c>
      <c r="Q52">
        <f t="shared" si="11"/>
        <v>2025</v>
      </c>
      <c r="R52" s="4">
        <f t="shared" si="12"/>
        <v>0.23177298083919476</v>
      </c>
      <c r="S52" s="3" t="str">
        <f t="shared" si="13"/>
        <v>Small</v>
      </c>
    </row>
    <row r="53" spans="1:19" x14ac:dyDescent="0.25">
      <c r="A53" s="1">
        <v>45737</v>
      </c>
      <c r="B53" t="s">
        <v>11</v>
      </c>
      <c r="C53" t="s">
        <v>12</v>
      </c>
      <c r="D53" t="s">
        <v>17</v>
      </c>
      <c r="E53" s="2">
        <v>5</v>
      </c>
      <c r="F53" s="3">
        <v>5505.69</v>
      </c>
      <c r="G53" s="3">
        <v>27528.45</v>
      </c>
      <c r="H53" s="3">
        <v>15142.69</v>
      </c>
      <c r="I53" s="3">
        <v>12385.76</v>
      </c>
      <c r="J53" t="s">
        <v>27</v>
      </c>
      <c r="K53" t="s">
        <v>23</v>
      </c>
      <c r="L53">
        <f>tblRawBusinessData3[[#This Row],[Quantity]]*tblRawBusinessData3[[#This Row],[Unit_Price]]-tblRawBusinessData3[[#This Row],[Revenue]]</f>
        <v>0</v>
      </c>
      <c r="M53" s="3">
        <f t="shared" si="7"/>
        <v>0</v>
      </c>
      <c r="N53" s="3" t="str">
        <f t="shared" si="8"/>
        <v>Valid</v>
      </c>
      <c r="O53" s="3" t="str">
        <f t="shared" si="9"/>
        <v>Mar</v>
      </c>
      <c r="P53" s="3" t="str">
        <f t="shared" si="10"/>
        <v>Q1</v>
      </c>
      <c r="Q53">
        <f t="shared" si="11"/>
        <v>2025</v>
      </c>
      <c r="R53" s="4">
        <f t="shared" si="12"/>
        <v>0.44992580403182891</v>
      </c>
      <c r="S53" s="3" t="str">
        <f t="shared" si="13"/>
        <v>Medium</v>
      </c>
    </row>
    <row r="54" spans="1:19" x14ac:dyDescent="0.25">
      <c r="A54" s="1">
        <v>45740</v>
      </c>
      <c r="B54" t="s">
        <v>55</v>
      </c>
      <c r="C54" t="s">
        <v>34</v>
      </c>
      <c r="D54" t="s">
        <v>35</v>
      </c>
      <c r="E54" s="2">
        <v>2</v>
      </c>
      <c r="F54" s="3">
        <v>4489.16</v>
      </c>
      <c r="G54" s="3">
        <v>8978.32</v>
      </c>
      <c r="H54" s="3">
        <v>6589.28</v>
      </c>
      <c r="I54" s="3">
        <v>2389.04</v>
      </c>
      <c r="J54" t="s">
        <v>32</v>
      </c>
      <c r="K54" t="s">
        <v>15</v>
      </c>
      <c r="L54">
        <f>tblRawBusinessData3[[#This Row],[Quantity]]*tblRawBusinessData3[[#This Row],[Unit_Price]]-tblRawBusinessData3[[#This Row],[Revenue]]</f>
        <v>0</v>
      </c>
      <c r="M54" s="3">
        <f t="shared" si="7"/>
        <v>0</v>
      </c>
      <c r="N54" s="3" t="str">
        <f t="shared" si="8"/>
        <v>Valid</v>
      </c>
      <c r="O54" s="3" t="str">
        <f t="shared" si="9"/>
        <v>Mar</v>
      </c>
      <c r="P54" s="3" t="str">
        <f t="shared" si="10"/>
        <v>Q1</v>
      </c>
      <c r="Q54">
        <f t="shared" si="11"/>
        <v>2025</v>
      </c>
      <c r="R54" s="4">
        <f t="shared" si="12"/>
        <v>0.26608986981974359</v>
      </c>
      <c r="S54" s="3" t="str">
        <f t="shared" si="13"/>
        <v>Small</v>
      </c>
    </row>
    <row r="55" spans="1:19" x14ac:dyDescent="0.25">
      <c r="A55" s="1">
        <v>45741</v>
      </c>
      <c r="B55" t="s">
        <v>11</v>
      </c>
      <c r="C55" t="s">
        <v>25</v>
      </c>
      <c r="D55" t="s">
        <v>28</v>
      </c>
      <c r="E55" s="2">
        <v>2</v>
      </c>
      <c r="F55" s="3">
        <v>16710.22</v>
      </c>
      <c r="G55" s="3">
        <v>33420.44</v>
      </c>
      <c r="H55" s="3">
        <v>17438.650000000001</v>
      </c>
      <c r="I55" s="3">
        <v>15981.79</v>
      </c>
      <c r="J55" t="s">
        <v>32</v>
      </c>
      <c r="K55" t="s">
        <v>46</v>
      </c>
      <c r="L55">
        <f>tblRawBusinessData3[[#This Row],[Quantity]]*tblRawBusinessData3[[#This Row],[Unit_Price]]-tblRawBusinessData3[[#This Row],[Revenue]]</f>
        <v>0</v>
      </c>
      <c r="M55" s="3">
        <f t="shared" si="7"/>
        <v>0</v>
      </c>
      <c r="N55" s="3" t="str">
        <f t="shared" si="8"/>
        <v>Valid</v>
      </c>
      <c r="O55" s="3" t="str">
        <f t="shared" si="9"/>
        <v>Mar</v>
      </c>
      <c r="P55" s="3" t="str">
        <f t="shared" si="10"/>
        <v>Q1</v>
      </c>
      <c r="Q55">
        <f t="shared" si="11"/>
        <v>2025</v>
      </c>
      <c r="R55" s="4">
        <f t="shared" si="12"/>
        <v>0.47820405715783515</v>
      </c>
      <c r="S55" s="3" t="str">
        <f t="shared" si="13"/>
        <v>Large</v>
      </c>
    </row>
    <row r="56" spans="1:19" x14ac:dyDescent="0.25">
      <c r="A56" s="1">
        <v>45741</v>
      </c>
      <c r="B56" t="s">
        <v>33</v>
      </c>
      <c r="C56" t="s">
        <v>25</v>
      </c>
      <c r="D56" t="s">
        <v>28</v>
      </c>
      <c r="E56" s="2">
        <v>3</v>
      </c>
      <c r="F56" s="3">
        <v>28305.86</v>
      </c>
      <c r="G56" s="3">
        <v>84917.58</v>
      </c>
      <c r="H56" s="3">
        <v>51026.05</v>
      </c>
      <c r="I56" s="3">
        <v>33891.53</v>
      </c>
      <c r="J56" t="s">
        <v>18</v>
      </c>
      <c r="K56" t="s">
        <v>30</v>
      </c>
      <c r="L56">
        <f>tblRawBusinessData3[[#This Row],[Quantity]]*tblRawBusinessData3[[#This Row],[Unit_Price]]-tblRawBusinessData3[[#This Row],[Revenue]]</f>
        <v>0</v>
      </c>
      <c r="M56" s="3">
        <f t="shared" si="7"/>
        <v>0</v>
      </c>
      <c r="N56" s="3" t="str">
        <f t="shared" si="8"/>
        <v>Valid</v>
      </c>
      <c r="O56" s="3" t="str">
        <f t="shared" si="9"/>
        <v>Mar</v>
      </c>
      <c r="P56" s="3" t="str">
        <f t="shared" si="10"/>
        <v>Q1</v>
      </c>
      <c r="Q56">
        <f t="shared" si="11"/>
        <v>2025</v>
      </c>
      <c r="R56" s="4">
        <f t="shared" si="12"/>
        <v>0.39911087904294962</v>
      </c>
      <c r="S56" s="3" t="str">
        <f t="shared" si="13"/>
        <v>Large</v>
      </c>
    </row>
    <row r="57" spans="1:19" x14ac:dyDescent="0.25">
      <c r="A57" s="1">
        <v>45743</v>
      </c>
      <c r="B57" t="s">
        <v>36</v>
      </c>
      <c r="C57" t="s">
        <v>25</v>
      </c>
      <c r="D57" t="s">
        <v>28</v>
      </c>
      <c r="E57" s="2">
        <v>1</v>
      </c>
      <c r="F57" s="3">
        <v>27227.78</v>
      </c>
      <c r="G57" s="3">
        <v>27227.78</v>
      </c>
      <c r="H57" s="3">
        <v>12892.17</v>
      </c>
      <c r="I57" s="3">
        <v>14335.61</v>
      </c>
      <c r="J57" t="s">
        <v>18</v>
      </c>
      <c r="K57" t="s">
        <v>30</v>
      </c>
      <c r="L57">
        <f>tblRawBusinessData3[[#This Row],[Quantity]]*tblRawBusinessData3[[#This Row],[Unit_Price]]-tblRawBusinessData3[[#This Row],[Revenue]]</f>
        <v>0</v>
      </c>
      <c r="M57" s="3">
        <f t="shared" si="7"/>
        <v>0</v>
      </c>
      <c r="N57" s="3" t="str">
        <f t="shared" si="8"/>
        <v>Valid</v>
      </c>
      <c r="O57" s="3" t="str">
        <f t="shared" si="9"/>
        <v>Mar</v>
      </c>
      <c r="P57" s="3" t="str">
        <f t="shared" si="10"/>
        <v>Q1</v>
      </c>
      <c r="Q57">
        <f t="shared" si="11"/>
        <v>2025</v>
      </c>
      <c r="R57" s="4">
        <f t="shared" si="12"/>
        <v>0.52650675156035498</v>
      </c>
      <c r="S57" s="3" t="str">
        <f t="shared" si="13"/>
        <v>Medium</v>
      </c>
    </row>
    <row r="58" spans="1:19" x14ac:dyDescent="0.25">
      <c r="A58" s="1">
        <v>45746</v>
      </c>
      <c r="B58" t="s">
        <v>20</v>
      </c>
      <c r="C58" t="s">
        <v>25</v>
      </c>
      <c r="D58" t="s">
        <v>28</v>
      </c>
      <c r="E58" s="2">
        <v>2</v>
      </c>
      <c r="F58" s="3">
        <v>37818.75</v>
      </c>
      <c r="G58" s="3">
        <v>75637.5</v>
      </c>
      <c r="H58" s="3">
        <v>40265.07</v>
      </c>
      <c r="I58" s="3">
        <v>35372.43</v>
      </c>
      <c r="J58" t="s">
        <v>29</v>
      </c>
      <c r="K58" t="s">
        <v>23</v>
      </c>
      <c r="L58">
        <f>tblRawBusinessData3[[#This Row],[Quantity]]*tblRawBusinessData3[[#This Row],[Unit_Price]]-tblRawBusinessData3[[#This Row],[Revenue]]</f>
        <v>0</v>
      </c>
      <c r="M58" s="3">
        <f t="shared" si="7"/>
        <v>0</v>
      </c>
      <c r="N58" s="3" t="str">
        <f t="shared" si="8"/>
        <v>Valid</v>
      </c>
      <c r="O58" s="3" t="str">
        <f t="shared" si="9"/>
        <v>Mar</v>
      </c>
      <c r="P58" s="3" t="str">
        <f t="shared" si="10"/>
        <v>Q1</v>
      </c>
      <c r="Q58">
        <f t="shared" si="11"/>
        <v>2025</v>
      </c>
      <c r="R58" s="4">
        <f t="shared" si="12"/>
        <v>0.46765731284085277</v>
      </c>
      <c r="S58" s="3" t="str">
        <f t="shared" si="13"/>
        <v>Large</v>
      </c>
    </row>
    <row r="59" spans="1:19" x14ac:dyDescent="0.25">
      <c r="A59" s="1">
        <v>45746</v>
      </c>
      <c r="B59" t="s">
        <v>20</v>
      </c>
      <c r="C59" t="s">
        <v>37</v>
      </c>
      <c r="D59" t="s">
        <v>38</v>
      </c>
      <c r="E59" s="2">
        <v>3</v>
      </c>
      <c r="F59" s="3">
        <v>5728.69</v>
      </c>
      <c r="G59" s="3">
        <v>17186.07</v>
      </c>
      <c r="H59" s="3">
        <v>8280.23</v>
      </c>
      <c r="I59" s="3">
        <v>8905.84</v>
      </c>
      <c r="J59" t="s">
        <v>14</v>
      </c>
      <c r="K59" t="s">
        <v>15</v>
      </c>
      <c r="L59">
        <f>tblRawBusinessData3[[#This Row],[Quantity]]*tblRawBusinessData3[[#This Row],[Unit_Price]]-tblRawBusinessData3[[#This Row],[Revenue]]</f>
        <v>0</v>
      </c>
      <c r="M59" s="3">
        <f t="shared" si="7"/>
        <v>0</v>
      </c>
      <c r="N59" s="3" t="str">
        <f t="shared" si="8"/>
        <v>Valid</v>
      </c>
      <c r="O59" s="3" t="str">
        <f t="shared" si="9"/>
        <v>Mar</v>
      </c>
      <c r="P59" s="3" t="str">
        <f t="shared" si="10"/>
        <v>Q1</v>
      </c>
      <c r="Q59">
        <f t="shared" si="11"/>
        <v>2025</v>
      </c>
      <c r="R59" s="4">
        <f t="shared" si="12"/>
        <v>0.51820107796605042</v>
      </c>
      <c r="S59" s="3" t="str">
        <f t="shared" si="13"/>
        <v>Medium</v>
      </c>
    </row>
    <row r="60" spans="1:19" x14ac:dyDescent="0.25">
      <c r="A60" s="1">
        <v>45747</v>
      </c>
      <c r="B60" t="s">
        <v>53</v>
      </c>
      <c r="C60" t="s">
        <v>12</v>
      </c>
      <c r="D60" t="s">
        <v>48</v>
      </c>
      <c r="E60" s="2">
        <v>3</v>
      </c>
      <c r="F60" s="3">
        <v>21502.42</v>
      </c>
      <c r="G60" s="3">
        <v>64507.26</v>
      </c>
      <c r="H60" s="3">
        <v>40260.9</v>
      </c>
      <c r="I60" s="3">
        <v>24246.36</v>
      </c>
      <c r="J60" t="s">
        <v>32</v>
      </c>
      <c r="K60" t="s">
        <v>30</v>
      </c>
      <c r="L60">
        <f>tblRawBusinessData3[[#This Row],[Quantity]]*tblRawBusinessData3[[#This Row],[Unit_Price]]-tblRawBusinessData3[[#This Row],[Revenue]]</f>
        <v>0</v>
      </c>
      <c r="M60" s="3">
        <f t="shared" si="7"/>
        <v>0</v>
      </c>
      <c r="N60" s="3" t="str">
        <f t="shared" si="8"/>
        <v>Valid</v>
      </c>
      <c r="O60" s="3" t="str">
        <f t="shared" si="9"/>
        <v>Mar</v>
      </c>
      <c r="P60" s="3" t="str">
        <f t="shared" si="10"/>
        <v>Q1</v>
      </c>
      <c r="Q60">
        <f t="shared" si="11"/>
        <v>2025</v>
      </c>
      <c r="R60" s="4">
        <f t="shared" si="12"/>
        <v>0.37587025088338893</v>
      </c>
      <c r="S60" s="3" t="str">
        <f t="shared" si="13"/>
        <v>Large</v>
      </c>
    </row>
    <row r="61" spans="1:19" x14ac:dyDescent="0.25">
      <c r="A61" s="1">
        <v>45749</v>
      </c>
      <c r="B61" t="s">
        <v>24</v>
      </c>
      <c r="C61" t="s">
        <v>21</v>
      </c>
      <c r="D61" t="s">
        <v>54</v>
      </c>
      <c r="E61" s="2">
        <v>5</v>
      </c>
      <c r="F61" s="3">
        <v>11562.42</v>
      </c>
      <c r="G61" s="3">
        <v>57812.1</v>
      </c>
      <c r="H61" s="3">
        <v>46432.36</v>
      </c>
      <c r="I61" s="3">
        <v>11379.74</v>
      </c>
      <c r="J61" t="s">
        <v>27</v>
      </c>
      <c r="K61" t="s">
        <v>23</v>
      </c>
      <c r="L61">
        <f>tblRawBusinessData3[[#This Row],[Quantity]]*tblRawBusinessData3[[#This Row],[Unit_Price]]-tblRawBusinessData3[[#This Row],[Revenue]]</f>
        <v>0</v>
      </c>
      <c r="M61" s="3">
        <f t="shared" si="7"/>
        <v>0</v>
      </c>
      <c r="N61" s="3" t="str">
        <f t="shared" si="8"/>
        <v>Valid</v>
      </c>
      <c r="O61" s="3" t="str">
        <f t="shared" si="9"/>
        <v>Apr</v>
      </c>
      <c r="P61" s="3" t="str">
        <f t="shared" si="10"/>
        <v>Q2</v>
      </c>
      <c r="Q61">
        <f t="shared" si="11"/>
        <v>2025</v>
      </c>
      <c r="R61" s="4">
        <f t="shared" si="12"/>
        <v>0.19684010786669226</v>
      </c>
      <c r="S61" s="3" t="str">
        <f t="shared" si="13"/>
        <v>Large</v>
      </c>
    </row>
    <row r="62" spans="1:19" x14ac:dyDescent="0.25">
      <c r="A62" s="1">
        <v>45752</v>
      </c>
      <c r="B62" t="s">
        <v>55</v>
      </c>
      <c r="C62" t="s">
        <v>21</v>
      </c>
      <c r="D62" t="s">
        <v>54</v>
      </c>
      <c r="E62" s="2">
        <v>5</v>
      </c>
      <c r="F62" s="3">
        <v>5259.89</v>
      </c>
      <c r="G62" s="3">
        <v>26299.45</v>
      </c>
      <c r="H62" s="3">
        <v>19924.18</v>
      </c>
      <c r="I62" s="3">
        <v>6375.27</v>
      </c>
      <c r="J62" t="s">
        <v>29</v>
      </c>
      <c r="K62" t="s">
        <v>19</v>
      </c>
      <c r="L62">
        <f>tblRawBusinessData3[[#This Row],[Quantity]]*tblRawBusinessData3[[#This Row],[Unit_Price]]-tblRawBusinessData3[[#This Row],[Revenue]]</f>
        <v>0</v>
      </c>
      <c r="M62" s="3">
        <f t="shared" si="7"/>
        <v>0</v>
      </c>
      <c r="N62" s="3" t="str">
        <f t="shared" si="8"/>
        <v>Valid</v>
      </c>
      <c r="O62" s="3" t="str">
        <f t="shared" si="9"/>
        <v>Apr</v>
      </c>
      <c r="P62" s="3" t="str">
        <f t="shared" si="10"/>
        <v>Q2</v>
      </c>
      <c r="Q62">
        <f t="shared" si="11"/>
        <v>2025</v>
      </c>
      <c r="R62" s="4">
        <f t="shared" si="12"/>
        <v>0.24241077284886187</v>
      </c>
      <c r="S62" s="3" t="str">
        <f t="shared" si="13"/>
        <v>Medium</v>
      </c>
    </row>
    <row r="63" spans="1:19" x14ac:dyDescent="0.25">
      <c r="A63" s="1">
        <v>45762</v>
      </c>
      <c r="B63" t="s">
        <v>42</v>
      </c>
      <c r="C63" t="s">
        <v>21</v>
      </c>
      <c r="D63" t="s">
        <v>22</v>
      </c>
      <c r="E63" s="2">
        <v>7</v>
      </c>
      <c r="F63" s="3">
        <v>9519.1299999999992</v>
      </c>
      <c r="G63" s="3">
        <v>66633.91</v>
      </c>
      <c r="H63" s="3">
        <v>51730.75</v>
      </c>
      <c r="I63" s="3">
        <v>14903.16</v>
      </c>
      <c r="J63" t="s">
        <v>14</v>
      </c>
      <c r="K63" t="s">
        <v>46</v>
      </c>
      <c r="L63">
        <f>tblRawBusinessData3[[#This Row],[Quantity]]*tblRawBusinessData3[[#This Row],[Unit_Price]]-tblRawBusinessData3[[#This Row],[Revenue]]</f>
        <v>0</v>
      </c>
      <c r="M63" s="3">
        <f t="shared" si="7"/>
        <v>0</v>
      </c>
      <c r="N63" s="3" t="str">
        <f t="shared" si="8"/>
        <v>Valid</v>
      </c>
      <c r="O63" s="3" t="str">
        <f t="shared" si="9"/>
        <v>Apr</v>
      </c>
      <c r="P63" s="3" t="str">
        <f t="shared" si="10"/>
        <v>Q2</v>
      </c>
      <c r="Q63">
        <f t="shared" si="11"/>
        <v>2025</v>
      </c>
      <c r="R63" s="4">
        <f t="shared" si="12"/>
        <v>0.22365729401141249</v>
      </c>
      <c r="S63" s="3" t="str">
        <f t="shared" si="13"/>
        <v>Large</v>
      </c>
    </row>
    <row r="64" spans="1:19" x14ac:dyDescent="0.25">
      <c r="A64" s="1">
        <v>45765</v>
      </c>
      <c r="B64" t="s">
        <v>53</v>
      </c>
      <c r="C64" t="s">
        <v>37</v>
      </c>
      <c r="D64" t="s">
        <v>45</v>
      </c>
      <c r="E64" s="2">
        <v>1</v>
      </c>
      <c r="F64" s="3">
        <v>18163.400000000001</v>
      </c>
      <c r="G64" s="3">
        <v>18163.400000000001</v>
      </c>
      <c r="H64" s="3">
        <v>4677.42</v>
      </c>
      <c r="I64" s="3">
        <v>13485.98</v>
      </c>
      <c r="J64" t="s">
        <v>18</v>
      </c>
      <c r="K64" t="s">
        <v>23</v>
      </c>
      <c r="L64">
        <f>tblRawBusinessData3[[#This Row],[Quantity]]*tblRawBusinessData3[[#This Row],[Unit_Price]]-tblRawBusinessData3[[#This Row],[Revenue]]</f>
        <v>0</v>
      </c>
      <c r="M64" s="3">
        <f t="shared" si="7"/>
        <v>0</v>
      </c>
      <c r="N64" s="3" t="str">
        <f t="shared" si="8"/>
        <v>Valid</v>
      </c>
      <c r="O64" s="3" t="str">
        <f t="shared" si="9"/>
        <v>Apr</v>
      </c>
      <c r="P64" s="3" t="str">
        <f t="shared" si="10"/>
        <v>Q2</v>
      </c>
      <c r="Q64">
        <f t="shared" si="11"/>
        <v>2025</v>
      </c>
      <c r="R64" s="4">
        <f t="shared" si="12"/>
        <v>0.74248103328671933</v>
      </c>
      <c r="S64" s="3" t="str">
        <f t="shared" si="13"/>
        <v>Medium</v>
      </c>
    </row>
    <row r="65" spans="1:19" x14ac:dyDescent="0.25">
      <c r="A65" s="1">
        <v>45767</v>
      </c>
      <c r="B65" t="s">
        <v>11</v>
      </c>
      <c r="C65" t="s">
        <v>12</v>
      </c>
      <c r="D65" t="s">
        <v>13</v>
      </c>
      <c r="E65" s="2">
        <v>4</v>
      </c>
      <c r="F65" s="3">
        <v>8986.86</v>
      </c>
      <c r="G65" s="3">
        <v>35947.440000000002</v>
      </c>
      <c r="H65" s="3">
        <v>18669.28</v>
      </c>
      <c r="I65" s="3">
        <v>17278.16</v>
      </c>
      <c r="J65" t="s">
        <v>14</v>
      </c>
      <c r="K65" t="s">
        <v>46</v>
      </c>
      <c r="L65">
        <f>tblRawBusinessData3[[#This Row],[Quantity]]*tblRawBusinessData3[[#This Row],[Unit_Price]]-tblRawBusinessData3[[#This Row],[Revenue]]</f>
        <v>0</v>
      </c>
      <c r="M65" s="3">
        <f t="shared" si="7"/>
        <v>0</v>
      </c>
      <c r="N65" s="3" t="str">
        <f t="shared" si="8"/>
        <v>Valid</v>
      </c>
      <c r="O65" s="3" t="str">
        <f t="shared" si="9"/>
        <v>Apr</v>
      </c>
      <c r="P65" s="3" t="str">
        <f t="shared" si="10"/>
        <v>Q2</v>
      </c>
      <c r="Q65">
        <f t="shared" si="11"/>
        <v>2025</v>
      </c>
      <c r="R65" s="4">
        <f t="shared" si="12"/>
        <v>0.48065063882156833</v>
      </c>
      <c r="S65" s="3" t="str">
        <f t="shared" si="13"/>
        <v>Large</v>
      </c>
    </row>
    <row r="66" spans="1:19" x14ac:dyDescent="0.25">
      <c r="A66" s="1">
        <v>45768</v>
      </c>
      <c r="B66" t="s">
        <v>42</v>
      </c>
      <c r="C66" t="s">
        <v>25</v>
      </c>
      <c r="D66" t="s">
        <v>31</v>
      </c>
      <c r="E66" s="2">
        <v>3</v>
      </c>
      <c r="F66" s="3">
        <v>9847.58</v>
      </c>
      <c r="G66" s="3">
        <v>29542.74</v>
      </c>
      <c r="H66" s="3">
        <v>17254</v>
      </c>
      <c r="I66" s="3">
        <v>12288.74</v>
      </c>
      <c r="J66" t="s">
        <v>18</v>
      </c>
      <c r="K66" t="s">
        <v>23</v>
      </c>
      <c r="L66">
        <f>tblRawBusinessData3[[#This Row],[Quantity]]*tblRawBusinessData3[[#This Row],[Unit_Price]]-tblRawBusinessData3[[#This Row],[Revenue]]</f>
        <v>0</v>
      </c>
      <c r="M66" s="3">
        <f t="shared" ref="M66:M97" si="14">G66-H66-I66</f>
        <v>0</v>
      </c>
      <c r="N66" s="3" t="str">
        <f t="shared" ref="N66:N97" si="15">IF(H66&lt;G66,"Valid","Check")</f>
        <v>Valid</v>
      </c>
      <c r="O66" s="3" t="str">
        <f t="shared" ref="O66:O97" si="16">TEXT(A66,"mmm")</f>
        <v>Apr</v>
      </c>
      <c r="P66" s="3" t="str">
        <f t="shared" ref="P66:P97" si="17">"Q"&amp;ROUNDUP(MONTH(A66)/3,0)</f>
        <v>Q2</v>
      </c>
      <c r="Q66">
        <f t="shared" ref="Q66:Q97" si="18">YEAR(A66)</f>
        <v>2025</v>
      </c>
      <c r="R66" s="4">
        <f t="shared" ref="R66:R97" si="19">I66/G66</f>
        <v>0.41596480218151732</v>
      </c>
      <c r="S66" s="3" t="str">
        <f t="shared" ref="S66:S97" si="20">IF(G66&lt;10000,"Small",IF(G66&lt;30000,"Medium","Large"))</f>
        <v>Medium</v>
      </c>
    </row>
    <row r="67" spans="1:19" x14ac:dyDescent="0.25">
      <c r="A67" s="1">
        <v>45768</v>
      </c>
      <c r="B67" t="s">
        <v>41</v>
      </c>
      <c r="C67" t="s">
        <v>12</v>
      </c>
      <c r="D67" t="s">
        <v>13</v>
      </c>
      <c r="E67" s="2">
        <v>3</v>
      </c>
      <c r="F67" s="3">
        <v>6627.21</v>
      </c>
      <c r="G67" s="3">
        <v>19881.63</v>
      </c>
      <c r="H67" s="3">
        <v>11024.53</v>
      </c>
      <c r="I67" s="3">
        <v>8857.1</v>
      </c>
      <c r="J67" t="s">
        <v>32</v>
      </c>
      <c r="K67" t="s">
        <v>30</v>
      </c>
      <c r="L67">
        <f>tblRawBusinessData3[[#This Row],[Quantity]]*tblRawBusinessData3[[#This Row],[Unit_Price]]-tblRawBusinessData3[[#This Row],[Revenue]]</f>
        <v>0</v>
      </c>
      <c r="M67" s="3">
        <f t="shared" si="14"/>
        <v>0</v>
      </c>
      <c r="N67" s="3" t="str">
        <f t="shared" si="15"/>
        <v>Valid</v>
      </c>
      <c r="O67" s="3" t="str">
        <f t="shared" si="16"/>
        <v>Apr</v>
      </c>
      <c r="P67" s="3" t="str">
        <f t="shared" si="17"/>
        <v>Q2</v>
      </c>
      <c r="Q67">
        <f t="shared" si="18"/>
        <v>2025</v>
      </c>
      <c r="R67" s="4">
        <f t="shared" si="19"/>
        <v>0.44549164228486293</v>
      </c>
      <c r="S67" s="3" t="str">
        <f t="shared" si="20"/>
        <v>Medium</v>
      </c>
    </row>
    <row r="68" spans="1:19" x14ac:dyDescent="0.25">
      <c r="A68" s="1">
        <v>45772</v>
      </c>
      <c r="B68" t="s">
        <v>44</v>
      </c>
      <c r="C68" t="s">
        <v>37</v>
      </c>
      <c r="D68" t="s">
        <v>38</v>
      </c>
      <c r="E68" s="2">
        <v>2</v>
      </c>
      <c r="F68" s="3">
        <v>5575</v>
      </c>
      <c r="G68" s="3">
        <v>11150</v>
      </c>
      <c r="H68" s="3">
        <v>5267.57</v>
      </c>
      <c r="I68" s="3">
        <v>5882.43</v>
      </c>
      <c r="J68" t="s">
        <v>14</v>
      </c>
      <c r="K68" t="s">
        <v>23</v>
      </c>
      <c r="L68">
        <f>tblRawBusinessData3[[#This Row],[Quantity]]*tblRawBusinessData3[[#This Row],[Unit_Price]]-tblRawBusinessData3[[#This Row],[Revenue]]</f>
        <v>0</v>
      </c>
      <c r="M68" s="3">
        <f t="shared" si="14"/>
        <v>0</v>
      </c>
      <c r="N68" s="3" t="str">
        <f t="shared" si="15"/>
        <v>Valid</v>
      </c>
      <c r="O68" s="3" t="str">
        <f t="shared" si="16"/>
        <v>Apr</v>
      </c>
      <c r="P68" s="3" t="str">
        <f t="shared" si="17"/>
        <v>Q2</v>
      </c>
      <c r="Q68">
        <f t="shared" si="18"/>
        <v>2025</v>
      </c>
      <c r="R68" s="4">
        <f t="shared" si="19"/>
        <v>0.52757219730941707</v>
      </c>
      <c r="S68" s="3" t="str">
        <f t="shared" si="20"/>
        <v>Medium</v>
      </c>
    </row>
    <row r="69" spans="1:19" x14ac:dyDescent="0.25">
      <c r="A69" s="1">
        <v>45773</v>
      </c>
      <c r="B69" t="s">
        <v>39</v>
      </c>
      <c r="C69" t="s">
        <v>21</v>
      </c>
      <c r="D69" t="s">
        <v>40</v>
      </c>
      <c r="E69" s="2">
        <v>4</v>
      </c>
      <c r="F69" s="3">
        <v>64061.71</v>
      </c>
      <c r="G69" s="3">
        <v>256246.84</v>
      </c>
      <c r="H69" s="3">
        <v>198581.81</v>
      </c>
      <c r="I69" s="3">
        <v>57665.03</v>
      </c>
      <c r="J69" t="s">
        <v>29</v>
      </c>
      <c r="K69" t="s">
        <v>30</v>
      </c>
      <c r="L69">
        <f>tblRawBusinessData3[[#This Row],[Quantity]]*tblRawBusinessData3[[#This Row],[Unit_Price]]-tblRawBusinessData3[[#This Row],[Revenue]]</f>
        <v>0</v>
      </c>
      <c r="M69" s="3">
        <f t="shared" si="14"/>
        <v>0</v>
      </c>
      <c r="N69" s="3" t="str">
        <f t="shared" si="15"/>
        <v>Valid</v>
      </c>
      <c r="O69" s="3" t="str">
        <f t="shared" si="16"/>
        <v>Apr</v>
      </c>
      <c r="P69" s="3" t="str">
        <f t="shared" si="17"/>
        <v>Q2</v>
      </c>
      <c r="Q69">
        <f t="shared" si="18"/>
        <v>2025</v>
      </c>
      <c r="R69" s="4">
        <f t="shared" si="19"/>
        <v>0.2250370385055285</v>
      </c>
      <c r="S69" s="3" t="str">
        <f t="shared" si="20"/>
        <v>Large</v>
      </c>
    </row>
    <row r="70" spans="1:19" x14ac:dyDescent="0.25">
      <c r="A70" s="1">
        <v>45777</v>
      </c>
      <c r="B70" t="s">
        <v>41</v>
      </c>
      <c r="C70" t="s">
        <v>25</v>
      </c>
      <c r="D70" t="s">
        <v>26</v>
      </c>
      <c r="E70" s="2">
        <v>2</v>
      </c>
      <c r="F70" s="3">
        <v>27617.279999999999</v>
      </c>
      <c r="G70" s="3">
        <v>55234.559999999998</v>
      </c>
      <c r="H70" s="3">
        <v>37246.339999999997</v>
      </c>
      <c r="I70" s="3">
        <v>17988.22</v>
      </c>
      <c r="J70" t="s">
        <v>14</v>
      </c>
      <c r="K70" t="s">
        <v>19</v>
      </c>
      <c r="L70">
        <f>tblRawBusinessData3[[#This Row],[Quantity]]*tblRawBusinessData3[[#This Row],[Unit_Price]]-tblRawBusinessData3[[#This Row],[Revenue]]</f>
        <v>0</v>
      </c>
      <c r="M70" s="3">
        <f t="shared" si="14"/>
        <v>0</v>
      </c>
      <c r="N70" s="3" t="str">
        <f t="shared" si="15"/>
        <v>Valid</v>
      </c>
      <c r="O70" s="3" t="str">
        <f t="shared" si="16"/>
        <v>Apr</v>
      </c>
      <c r="P70" s="3" t="str">
        <f t="shared" si="17"/>
        <v>Q2</v>
      </c>
      <c r="Q70">
        <f t="shared" si="18"/>
        <v>2025</v>
      </c>
      <c r="R70" s="4">
        <f t="shared" si="19"/>
        <v>0.32566965320263258</v>
      </c>
      <c r="S70" s="3" t="str">
        <f t="shared" si="20"/>
        <v>Large</v>
      </c>
    </row>
    <row r="71" spans="1:19" x14ac:dyDescent="0.25">
      <c r="A71" s="1">
        <v>45779</v>
      </c>
      <c r="B71" t="s">
        <v>33</v>
      </c>
      <c r="C71" t="s">
        <v>25</v>
      </c>
      <c r="D71" t="s">
        <v>31</v>
      </c>
      <c r="E71" s="2">
        <v>3</v>
      </c>
      <c r="F71" s="3">
        <v>17682.18</v>
      </c>
      <c r="G71" s="3">
        <v>53046.54</v>
      </c>
      <c r="H71" s="3">
        <v>28485.360000000001</v>
      </c>
      <c r="I71" s="3">
        <v>24561.18</v>
      </c>
      <c r="J71" t="s">
        <v>29</v>
      </c>
      <c r="K71" t="s">
        <v>23</v>
      </c>
      <c r="L71">
        <f>tblRawBusinessData3[[#This Row],[Quantity]]*tblRawBusinessData3[[#This Row],[Unit_Price]]-tblRawBusinessData3[[#This Row],[Revenue]]</f>
        <v>0</v>
      </c>
      <c r="M71" s="3">
        <f t="shared" si="14"/>
        <v>0</v>
      </c>
      <c r="N71" s="3" t="str">
        <f t="shared" si="15"/>
        <v>Valid</v>
      </c>
      <c r="O71" s="3" t="str">
        <f t="shared" si="16"/>
        <v>May</v>
      </c>
      <c r="P71" s="3" t="str">
        <f t="shared" si="17"/>
        <v>Q2</v>
      </c>
      <c r="Q71">
        <f t="shared" si="18"/>
        <v>2025</v>
      </c>
      <c r="R71" s="4">
        <f t="shared" si="19"/>
        <v>0.46301191368937539</v>
      </c>
      <c r="S71" s="3" t="str">
        <f t="shared" si="20"/>
        <v>Large</v>
      </c>
    </row>
    <row r="72" spans="1:19" x14ac:dyDescent="0.25">
      <c r="A72" s="1">
        <v>45779</v>
      </c>
      <c r="B72" t="s">
        <v>50</v>
      </c>
      <c r="C72" t="s">
        <v>34</v>
      </c>
      <c r="D72" t="s">
        <v>35</v>
      </c>
      <c r="E72" s="2">
        <v>8</v>
      </c>
      <c r="F72" s="3">
        <v>2267.6799999999998</v>
      </c>
      <c r="G72" s="3">
        <v>18141.439999999999</v>
      </c>
      <c r="H72" s="3">
        <v>15432.09</v>
      </c>
      <c r="I72" s="3">
        <v>2709.35</v>
      </c>
      <c r="J72" t="s">
        <v>32</v>
      </c>
      <c r="K72" t="s">
        <v>46</v>
      </c>
      <c r="L72">
        <f>tblRawBusinessData3[[#This Row],[Quantity]]*tblRawBusinessData3[[#This Row],[Unit_Price]]-tblRawBusinessData3[[#This Row],[Revenue]]</f>
        <v>0</v>
      </c>
      <c r="M72" s="3">
        <f t="shared" si="14"/>
        <v>0</v>
      </c>
      <c r="N72" s="3" t="str">
        <f t="shared" si="15"/>
        <v>Valid</v>
      </c>
      <c r="O72" s="3" t="str">
        <f t="shared" si="16"/>
        <v>May</v>
      </c>
      <c r="P72" s="3" t="str">
        <f t="shared" si="17"/>
        <v>Q2</v>
      </c>
      <c r="Q72">
        <f t="shared" si="18"/>
        <v>2025</v>
      </c>
      <c r="R72" s="4">
        <f t="shared" si="19"/>
        <v>0.14934591741339168</v>
      </c>
      <c r="S72" s="3" t="str">
        <f t="shared" si="20"/>
        <v>Medium</v>
      </c>
    </row>
    <row r="73" spans="1:19" x14ac:dyDescent="0.25">
      <c r="A73" s="1">
        <v>45782</v>
      </c>
      <c r="B73" t="s">
        <v>33</v>
      </c>
      <c r="C73" t="s">
        <v>21</v>
      </c>
      <c r="D73" t="s">
        <v>40</v>
      </c>
      <c r="E73" s="2">
        <v>3</v>
      </c>
      <c r="F73" s="3">
        <v>25594.35</v>
      </c>
      <c r="G73" s="3">
        <v>76783.05</v>
      </c>
      <c r="H73" s="3">
        <v>56962.04</v>
      </c>
      <c r="I73" s="3">
        <v>19821.009999999998</v>
      </c>
      <c r="J73" t="s">
        <v>18</v>
      </c>
      <c r="K73" t="s">
        <v>30</v>
      </c>
      <c r="L73">
        <f>tblRawBusinessData3[[#This Row],[Quantity]]*tblRawBusinessData3[[#This Row],[Unit_Price]]-tblRawBusinessData3[[#This Row],[Revenue]]</f>
        <v>0</v>
      </c>
      <c r="M73" s="3">
        <f t="shared" si="14"/>
        <v>0</v>
      </c>
      <c r="N73" s="3" t="str">
        <f t="shared" si="15"/>
        <v>Valid</v>
      </c>
      <c r="O73" s="3" t="str">
        <f t="shared" si="16"/>
        <v>May</v>
      </c>
      <c r="P73" s="3" t="str">
        <f t="shared" si="17"/>
        <v>Q2</v>
      </c>
      <c r="Q73">
        <f t="shared" si="18"/>
        <v>2025</v>
      </c>
      <c r="R73" s="4">
        <f t="shared" si="19"/>
        <v>0.25814304068410932</v>
      </c>
      <c r="S73" s="3" t="str">
        <f t="shared" si="20"/>
        <v>Large</v>
      </c>
    </row>
    <row r="74" spans="1:19" x14ac:dyDescent="0.25">
      <c r="A74" s="1">
        <v>45785</v>
      </c>
      <c r="B74" t="s">
        <v>39</v>
      </c>
      <c r="C74" t="s">
        <v>21</v>
      </c>
      <c r="D74" t="s">
        <v>54</v>
      </c>
      <c r="E74" s="2">
        <v>2</v>
      </c>
      <c r="F74" s="3">
        <v>12821.42</v>
      </c>
      <c r="G74" s="3">
        <v>25642.84</v>
      </c>
      <c r="H74" s="3">
        <v>19070.5</v>
      </c>
      <c r="I74" s="3">
        <v>6572.34</v>
      </c>
      <c r="J74" t="s">
        <v>27</v>
      </c>
      <c r="K74" t="s">
        <v>46</v>
      </c>
      <c r="L74">
        <f>tblRawBusinessData3[[#This Row],[Quantity]]*tblRawBusinessData3[[#This Row],[Unit_Price]]-tblRawBusinessData3[[#This Row],[Revenue]]</f>
        <v>0</v>
      </c>
      <c r="M74" s="3">
        <f t="shared" si="14"/>
        <v>0</v>
      </c>
      <c r="N74" s="3" t="str">
        <f t="shared" si="15"/>
        <v>Valid</v>
      </c>
      <c r="O74" s="3" t="str">
        <f t="shared" si="16"/>
        <v>May</v>
      </c>
      <c r="P74" s="3" t="str">
        <f t="shared" si="17"/>
        <v>Q2</v>
      </c>
      <c r="Q74">
        <f t="shared" si="18"/>
        <v>2025</v>
      </c>
      <c r="R74" s="4">
        <f t="shared" si="19"/>
        <v>0.2563031239909464</v>
      </c>
      <c r="S74" s="3" t="str">
        <f t="shared" si="20"/>
        <v>Medium</v>
      </c>
    </row>
    <row r="75" spans="1:19" x14ac:dyDescent="0.25">
      <c r="A75" s="1">
        <v>45786</v>
      </c>
      <c r="B75" t="s">
        <v>42</v>
      </c>
      <c r="C75" t="s">
        <v>12</v>
      </c>
      <c r="D75" t="s">
        <v>17</v>
      </c>
      <c r="E75" s="2">
        <v>1</v>
      </c>
      <c r="F75" s="3">
        <v>3579.18</v>
      </c>
      <c r="G75" s="3">
        <v>3579.18</v>
      </c>
      <c r="H75" s="3">
        <v>2328.16</v>
      </c>
      <c r="I75" s="3">
        <v>1251.02</v>
      </c>
      <c r="J75" t="s">
        <v>29</v>
      </c>
      <c r="K75" t="s">
        <v>19</v>
      </c>
      <c r="L75">
        <f>tblRawBusinessData3[[#This Row],[Quantity]]*tblRawBusinessData3[[#This Row],[Unit_Price]]-tblRawBusinessData3[[#This Row],[Revenue]]</f>
        <v>0</v>
      </c>
      <c r="M75" s="3">
        <f t="shared" si="14"/>
        <v>0</v>
      </c>
      <c r="N75" s="3" t="str">
        <f t="shared" si="15"/>
        <v>Valid</v>
      </c>
      <c r="O75" s="3" t="str">
        <f t="shared" si="16"/>
        <v>May</v>
      </c>
      <c r="P75" s="3" t="str">
        <f t="shared" si="17"/>
        <v>Q2</v>
      </c>
      <c r="Q75">
        <f t="shared" si="18"/>
        <v>2025</v>
      </c>
      <c r="R75" s="4">
        <f t="shared" si="19"/>
        <v>0.34952698662822212</v>
      </c>
      <c r="S75" s="3" t="str">
        <f t="shared" si="20"/>
        <v>Small</v>
      </c>
    </row>
    <row r="76" spans="1:19" x14ac:dyDescent="0.25">
      <c r="A76" s="1">
        <v>45787</v>
      </c>
      <c r="B76" t="s">
        <v>42</v>
      </c>
      <c r="C76" t="s">
        <v>25</v>
      </c>
      <c r="D76" t="s">
        <v>28</v>
      </c>
      <c r="E76" s="2">
        <v>1</v>
      </c>
      <c r="F76" s="3">
        <v>39150.35</v>
      </c>
      <c r="G76" s="3">
        <v>39150.35</v>
      </c>
      <c r="H76" s="3">
        <v>18324.689999999999</v>
      </c>
      <c r="I76" s="3">
        <v>20825.66</v>
      </c>
      <c r="J76" t="s">
        <v>29</v>
      </c>
      <c r="K76" t="s">
        <v>46</v>
      </c>
      <c r="L76">
        <f>tblRawBusinessData3[[#This Row],[Quantity]]*tblRawBusinessData3[[#This Row],[Unit_Price]]-tblRawBusinessData3[[#This Row],[Revenue]]</f>
        <v>0</v>
      </c>
      <c r="M76" s="3">
        <f t="shared" si="14"/>
        <v>0</v>
      </c>
      <c r="N76" s="3" t="str">
        <f t="shared" si="15"/>
        <v>Valid</v>
      </c>
      <c r="O76" s="3" t="str">
        <f t="shared" si="16"/>
        <v>May</v>
      </c>
      <c r="P76" s="3" t="str">
        <f t="shared" si="17"/>
        <v>Q2</v>
      </c>
      <c r="Q76">
        <f t="shared" si="18"/>
        <v>2025</v>
      </c>
      <c r="R76" s="4">
        <f t="shared" si="19"/>
        <v>0.53194058290666624</v>
      </c>
      <c r="S76" s="3" t="str">
        <f t="shared" si="20"/>
        <v>Large</v>
      </c>
    </row>
    <row r="77" spans="1:19" x14ac:dyDescent="0.25">
      <c r="A77" s="1">
        <v>45788</v>
      </c>
      <c r="B77" t="s">
        <v>42</v>
      </c>
      <c r="C77" t="s">
        <v>21</v>
      </c>
      <c r="D77" t="s">
        <v>22</v>
      </c>
      <c r="E77" s="2">
        <v>8</v>
      </c>
      <c r="F77" s="3">
        <v>16853.14</v>
      </c>
      <c r="G77" s="3">
        <v>134825.12</v>
      </c>
      <c r="H77" s="3">
        <v>92972.56</v>
      </c>
      <c r="I77" s="3">
        <v>41852.559999999998</v>
      </c>
      <c r="J77" t="s">
        <v>29</v>
      </c>
      <c r="K77" t="s">
        <v>19</v>
      </c>
      <c r="L77">
        <f>tblRawBusinessData3[[#This Row],[Quantity]]*tblRawBusinessData3[[#This Row],[Unit_Price]]-tblRawBusinessData3[[#This Row],[Revenue]]</f>
        <v>0</v>
      </c>
      <c r="M77" s="3">
        <f t="shared" si="14"/>
        <v>0</v>
      </c>
      <c r="N77" s="3" t="str">
        <f t="shared" si="15"/>
        <v>Valid</v>
      </c>
      <c r="O77" s="3" t="str">
        <f t="shared" si="16"/>
        <v>May</v>
      </c>
      <c r="P77" s="3" t="str">
        <f t="shared" si="17"/>
        <v>Q2</v>
      </c>
      <c r="Q77">
        <f t="shared" si="18"/>
        <v>2025</v>
      </c>
      <c r="R77" s="4">
        <f t="shared" si="19"/>
        <v>0.31042108473554481</v>
      </c>
      <c r="S77" s="3" t="str">
        <f t="shared" si="20"/>
        <v>Large</v>
      </c>
    </row>
    <row r="78" spans="1:19" x14ac:dyDescent="0.25">
      <c r="A78" s="1">
        <v>45789</v>
      </c>
      <c r="B78" t="s">
        <v>42</v>
      </c>
      <c r="C78" t="s">
        <v>21</v>
      </c>
      <c r="D78" t="s">
        <v>22</v>
      </c>
      <c r="E78" s="2">
        <v>5</v>
      </c>
      <c r="F78" s="3">
        <v>15807.87</v>
      </c>
      <c r="G78" s="3">
        <v>79039.350000000006</v>
      </c>
      <c r="H78" s="3">
        <v>54494.34</v>
      </c>
      <c r="I78" s="3">
        <v>24545.01</v>
      </c>
      <c r="J78" t="s">
        <v>14</v>
      </c>
      <c r="K78" t="s">
        <v>23</v>
      </c>
      <c r="L78">
        <f>tblRawBusinessData3[[#This Row],[Quantity]]*tblRawBusinessData3[[#This Row],[Unit_Price]]-tblRawBusinessData3[[#This Row],[Revenue]]</f>
        <v>0</v>
      </c>
      <c r="M78" s="3">
        <f t="shared" si="14"/>
        <v>0</v>
      </c>
      <c r="N78" s="3" t="str">
        <f t="shared" si="15"/>
        <v>Valid</v>
      </c>
      <c r="O78" s="3" t="str">
        <f t="shared" si="16"/>
        <v>May</v>
      </c>
      <c r="P78" s="3" t="str">
        <f t="shared" si="17"/>
        <v>Q2</v>
      </c>
      <c r="Q78">
        <f t="shared" si="18"/>
        <v>2025</v>
      </c>
      <c r="R78" s="4">
        <f t="shared" si="19"/>
        <v>0.31054164792600136</v>
      </c>
      <c r="S78" s="3" t="str">
        <f t="shared" si="20"/>
        <v>Large</v>
      </c>
    </row>
    <row r="79" spans="1:19" x14ac:dyDescent="0.25">
      <c r="A79" s="1">
        <v>45791</v>
      </c>
      <c r="B79" t="s">
        <v>33</v>
      </c>
      <c r="C79" t="s">
        <v>21</v>
      </c>
      <c r="D79" t="s">
        <v>54</v>
      </c>
      <c r="E79" s="2">
        <v>2</v>
      </c>
      <c r="F79" s="3">
        <v>5206.76</v>
      </c>
      <c r="G79" s="3">
        <v>10413.52</v>
      </c>
      <c r="H79" s="3">
        <v>8227.84</v>
      </c>
      <c r="I79" s="3">
        <v>2185.6799999999998</v>
      </c>
      <c r="J79" t="s">
        <v>27</v>
      </c>
      <c r="K79" t="s">
        <v>46</v>
      </c>
      <c r="L79">
        <f>tblRawBusinessData3[[#This Row],[Quantity]]*tblRawBusinessData3[[#This Row],[Unit_Price]]-tblRawBusinessData3[[#This Row],[Revenue]]</f>
        <v>0</v>
      </c>
      <c r="M79" s="3">
        <f t="shared" si="14"/>
        <v>0</v>
      </c>
      <c r="N79" s="3" t="str">
        <f t="shared" si="15"/>
        <v>Valid</v>
      </c>
      <c r="O79" s="3" t="str">
        <f t="shared" si="16"/>
        <v>May</v>
      </c>
      <c r="P79" s="3" t="str">
        <f t="shared" si="17"/>
        <v>Q2</v>
      </c>
      <c r="Q79">
        <f t="shared" si="18"/>
        <v>2025</v>
      </c>
      <c r="R79" s="4">
        <f t="shared" si="19"/>
        <v>0.209888683173413</v>
      </c>
      <c r="S79" s="3" t="str">
        <f t="shared" si="20"/>
        <v>Medium</v>
      </c>
    </row>
    <row r="80" spans="1:19" x14ac:dyDescent="0.25">
      <c r="A80" s="1">
        <v>45792</v>
      </c>
      <c r="B80" t="s">
        <v>51</v>
      </c>
      <c r="C80" t="s">
        <v>21</v>
      </c>
      <c r="D80" t="s">
        <v>22</v>
      </c>
      <c r="E80" s="2">
        <v>2</v>
      </c>
      <c r="F80" s="3">
        <v>10647.81</v>
      </c>
      <c r="G80" s="3">
        <v>21295.62</v>
      </c>
      <c r="H80" s="3">
        <v>16855.189999999999</v>
      </c>
      <c r="I80" s="3">
        <v>4440.43</v>
      </c>
      <c r="J80" t="s">
        <v>29</v>
      </c>
      <c r="K80" t="s">
        <v>46</v>
      </c>
      <c r="L80">
        <f>tblRawBusinessData3[[#This Row],[Quantity]]*tblRawBusinessData3[[#This Row],[Unit_Price]]-tblRawBusinessData3[[#This Row],[Revenue]]</f>
        <v>0</v>
      </c>
      <c r="M80" s="3">
        <f t="shared" si="14"/>
        <v>0</v>
      </c>
      <c r="N80" s="3" t="str">
        <f t="shared" si="15"/>
        <v>Valid</v>
      </c>
      <c r="O80" s="3" t="str">
        <f t="shared" si="16"/>
        <v>May</v>
      </c>
      <c r="P80" s="3" t="str">
        <f t="shared" si="17"/>
        <v>Q2</v>
      </c>
      <c r="Q80">
        <f t="shared" si="18"/>
        <v>2025</v>
      </c>
      <c r="R80" s="4">
        <f t="shared" si="19"/>
        <v>0.20851376949814096</v>
      </c>
      <c r="S80" s="3" t="str">
        <f t="shared" si="20"/>
        <v>Medium</v>
      </c>
    </row>
    <row r="81" spans="1:19" x14ac:dyDescent="0.25">
      <c r="A81" s="1">
        <v>45796</v>
      </c>
      <c r="B81" t="s">
        <v>24</v>
      </c>
      <c r="C81" t="s">
        <v>34</v>
      </c>
      <c r="D81" t="s">
        <v>52</v>
      </c>
      <c r="E81" s="2">
        <v>2</v>
      </c>
      <c r="F81" s="3">
        <v>2473.25</v>
      </c>
      <c r="G81" s="3">
        <v>4946.5</v>
      </c>
      <c r="H81" s="3">
        <v>4098.92</v>
      </c>
      <c r="I81" s="3">
        <v>847.58</v>
      </c>
      <c r="J81" t="s">
        <v>27</v>
      </c>
      <c r="K81" t="s">
        <v>46</v>
      </c>
      <c r="L81">
        <f>tblRawBusinessData3[[#This Row],[Quantity]]*tblRawBusinessData3[[#This Row],[Unit_Price]]-tblRawBusinessData3[[#This Row],[Revenue]]</f>
        <v>0</v>
      </c>
      <c r="M81" s="3">
        <f t="shared" si="14"/>
        <v>0</v>
      </c>
      <c r="N81" s="3" t="str">
        <f t="shared" si="15"/>
        <v>Valid</v>
      </c>
      <c r="O81" s="3" t="str">
        <f t="shared" si="16"/>
        <v>May</v>
      </c>
      <c r="P81" s="3" t="str">
        <f t="shared" si="17"/>
        <v>Q2</v>
      </c>
      <c r="Q81">
        <f t="shared" si="18"/>
        <v>2025</v>
      </c>
      <c r="R81" s="4">
        <f t="shared" si="19"/>
        <v>0.17134943899727081</v>
      </c>
      <c r="S81" s="3" t="str">
        <f t="shared" si="20"/>
        <v>Small</v>
      </c>
    </row>
    <row r="82" spans="1:19" x14ac:dyDescent="0.25">
      <c r="A82" s="1">
        <v>45798</v>
      </c>
      <c r="B82" t="s">
        <v>43</v>
      </c>
      <c r="C82" t="s">
        <v>21</v>
      </c>
      <c r="D82" t="s">
        <v>54</v>
      </c>
      <c r="E82" s="2">
        <v>1</v>
      </c>
      <c r="F82" s="3">
        <v>11217.46</v>
      </c>
      <c r="G82" s="3">
        <v>11217.46</v>
      </c>
      <c r="H82" s="3">
        <v>7768.37</v>
      </c>
      <c r="I82" s="3">
        <v>3449.09</v>
      </c>
      <c r="J82" t="s">
        <v>29</v>
      </c>
      <c r="K82" t="s">
        <v>30</v>
      </c>
      <c r="L82">
        <f>tblRawBusinessData3[[#This Row],[Quantity]]*tblRawBusinessData3[[#This Row],[Unit_Price]]-tblRawBusinessData3[[#This Row],[Revenue]]</f>
        <v>0</v>
      </c>
      <c r="M82" s="3">
        <f t="shared" si="14"/>
        <v>0</v>
      </c>
      <c r="N82" s="3" t="str">
        <f t="shared" si="15"/>
        <v>Valid</v>
      </c>
      <c r="O82" s="3" t="str">
        <f t="shared" si="16"/>
        <v>May</v>
      </c>
      <c r="P82" s="3" t="str">
        <f t="shared" si="17"/>
        <v>Q2</v>
      </c>
      <c r="Q82">
        <f t="shared" si="18"/>
        <v>2025</v>
      </c>
      <c r="R82" s="4">
        <f t="shared" si="19"/>
        <v>0.30747513251663033</v>
      </c>
      <c r="S82" s="3" t="str">
        <f t="shared" si="20"/>
        <v>Medium</v>
      </c>
    </row>
    <row r="83" spans="1:19" x14ac:dyDescent="0.25">
      <c r="A83" s="1">
        <v>45799</v>
      </c>
      <c r="B83" t="s">
        <v>42</v>
      </c>
      <c r="C83" t="s">
        <v>25</v>
      </c>
      <c r="D83" t="s">
        <v>26</v>
      </c>
      <c r="E83" s="2">
        <v>2</v>
      </c>
      <c r="F83" s="3">
        <v>22090.06</v>
      </c>
      <c r="G83" s="3">
        <v>44180.12</v>
      </c>
      <c r="H83" s="3">
        <v>24751.59</v>
      </c>
      <c r="I83" s="3">
        <v>19428.53</v>
      </c>
      <c r="J83" t="s">
        <v>32</v>
      </c>
      <c r="K83" t="s">
        <v>46</v>
      </c>
      <c r="L83">
        <f>tblRawBusinessData3[[#This Row],[Quantity]]*tblRawBusinessData3[[#This Row],[Unit_Price]]-tblRawBusinessData3[[#This Row],[Revenue]]</f>
        <v>0</v>
      </c>
      <c r="M83" s="3">
        <f t="shared" si="14"/>
        <v>0</v>
      </c>
      <c r="N83" s="3" t="str">
        <f t="shared" si="15"/>
        <v>Valid</v>
      </c>
      <c r="O83" s="3" t="str">
        <f t="shared" si="16"/>
        <v>May</v>
      </c>
      <c r="P83" s="3" t="str">
        <f t="shared" si="17"/>
        <v>Q2</v>
      </c>
      <c r="Q83">
        <f t="shared" si="18"/>
        <v>2025</v>
      </c>
      <c r="R83" s="4">
        <f t="shared" si="19"/>
        <v>0.43975729355194143</v>
      </c>
      <c r="S83" s="3" t="str">
        <f t="shared" si="20"/>
        <v>Large</v>
      </c>
    </row>
    <row r="84" spans="1:19" x14ac:dyDescent="0.25">
      <c r="A84" s="1">
        <v>45801</v>
      </c>
      <c r="B84" t="s">
        <v>43</v>
      </c>
      <c r="C84" t="s">
        <v>21</v>
      </c>
      <c r="D84" t="s">
        <v>40</v>
      </c>
      <c r="E84" s="2">
        <v>4</v>
      </c>
      <c r="F84" s="3">
        <v>48469.41</v>
      </c>
      <c r="G84" s="3">
        <v>193877.64</v>
      </c>
      <c r="H84" s="3">
        <v>151341.60999999999</v>
      </c>
      <c r="I84" s="3">
        <v>42536.03</v>
      </c>
      <c r="J84" t="s">
        <v>14</v>
      </c>
      <c r="K84" t="s">
        <v>46</v>
      </c>
      <c r="L84">
        <f>tblRawBusinessData3[[#This Row],[Quantity]]*tblRawBusinessData3[[#This Row],[Unit_Price]]-tblRawBusinessData3[[#This Row],[Revenue]]</f>
        <v>0</v>
      </c>
      <c r="M84" s="3">
        <f t="shared" si="14"/>
        <v>0</v>
      </c>
      <c r="N84" s="3" t="str">
        <f t="shared" si="15"/>
        <v>Valid</v>
      </c>
      <c r="O84" s="3" t="str">
        <f t="shared" si="16"/>
        <v>May</v>
      </c>
      <c r="P84" s="3" t="str">
        <f t="shared" si="17"/>
        <v>Q2</v>
      </c>
      <c r="Q84">
        <f t="shared" si="18"/>
        <v>2025</v>
      </c>
      <c r="R84" s="4">
        <f t="shared" si="19"/>
        <v>0.2193962645718196</v>
      </c>
      <c r="S84" s="3" t="str">
        <f t="shared" si="20"/>
        <v>Large</v>
      </c>
    </row>
    <row r="85" spans="1:19" x14ac:dyDescent="0.25">
      <c r="A85" s="1">
        <v>45803</v>
      </c>
      <c r="B85" t="s">
        <v>24</v>
      </c>
      <c r="C85" t="s">
        <v>34</v>
      </c>
      <c r="D85" t="s">
        <v>49</v>
      </c>
      <c r="E85" s="2">
        <v>7</v>
      </c>
      <c r="F85" s="3">
        <v>827.84</v>
      </c>
      <c r="G85" s="3">
        <v>5794.88</v>
      </c>
      <c r="H85" s="3">
        <v>4669.8100000000004</v>
      </c>
      <c r="I85" s="3">
        <v>1125.07</v>
      </c>
      <c r="J85" t="s">
        <v>32</v>
      </c>
      <c r="K85" t="s">
        <v>23</v>
      </c>
      <c r="L85">
        <f>tblRawBusinessData3[[#This Row],[Quantity]]*tblRawBusinessData3[[#This Row],[Unit_Price]]-tblRawBusinessData3[[#This Row],[Revenue]]</f>
        <v>0</v>
      </c>
      <c r="M85" s="3">
        <f t="shared" si="14"/>
        <v>0</v>
      </c>
      <c r="N85" s="3" t="str">
        <f t="shared" si="15"/>
        <v>Valid</v>
      </c>
      <c r="O85" s="3" t="str">
        <f t="shared" si="16"/>
        <v>May</v>
      </c>
      <c r="P85" s="3" t="str">
        <f t="shared" si="17"/>
        <v>Q2</v>
      </c>
      <c r="Q85">
        <f t="shared" si="18"/>
        <v>2025</v>
      </c>
      <c r="R85" s="4">
        <f t="shared" si="19"/>
        <v>0.19414897288641006</v>
      </c>
      <c r="S85" s="3" t="str">
        <f t="shared" si="20"/>
        <v>Small</v>
      </c>
    </row>
    <row r="86" spans="1:19" x14ac:dyDescent="0.25">
      <c r="A86" s="1">
        <v>45806</v>
      </c>
      <c r="B86" t="s">
        <v>39</v>
      </c>
      <c r="C86" t="s">
        <v>21</v>
      </c>
      <c r="D86" t="s">
        <v>22</v>
      </c>
      <c r="E86" s="2">
        <v>8</v>
      </c>
      <c r="F86" s="3">
        <v>6524.3</v>
      </c>
      <c r="G86" s="3">
        <v>52194.400000000001</v>
      </c>
      <c r="H86" s="3">
        <v>37962.660000000003</v>
      </c>
      <c r="I86" s="3">
        <v>14231.74</v>
      </c>
      <c r="J86" t="s">
        <v>29</v>
      </c>
      <c r="K86" t="s">
        <v>46</v>
      </c>
      <c r="L86">
        <f>tblRawBusinessData3[[#This Row],[Quantity]]*tblRawBusinessData3[[#This Row],[Unit_Price]]-tblRawBusinessData3[[#This Row],[Revenue]]</f>
        <v>0</v>
      </c>
      <c r="M86" s="3">
        <f t="shared" si="14"/>
        <v>0</v>
      </c>
      <c r="N86" s="3" t="str">
        <f t="shared" si="15"/>
        <v>Valid</v>
      </c>
      <c r="O86" s="3" t="str">
        <f t="shared" si="16"/>
        <v>May</v>
      </c>
      <c r="P86" s="3" t="str">
        <f t="shared" si="17"/>
        <v>Q2</v>
      </c>
      <c r="Q86">
        <f t="shared" si="18"/>
        <v>2025</v>
      </c>
      <c r="R86" s="4">
        <f t="shared" si="19"/>
        <v>0.27266794905200559</v>
      </c>
      <c r="S86" s="3" t="str">
        <f t="shared" si="20"/>
        <v>Large</v>
      </c>
    </row>
    <row r="87" spans="1:19" x14ac:dyDescent="0.25">
      <c r="A87" s="1">
        <v>45808</v>
      </c>
      <c r="B87" t="s">
        <v>33</v>
      </c>
      <c r="C87" t="s">
        <v>21</v>
      </c>
      <c r="D87" t="s">
        <v>54</v>
      </c>
      <c r="E87" s="2">
        <v>6</v>
      </c>
      <c r="F87" s="3">
        <v>10427.81</v>
      </c>
      <c r="G87" s="3">
        <v>62566.86</v>
      </c>
      <c r="H87" s="3">
        <v>44615.03</v>
      </c>
      <c r="I87" s="3">
        <v>17951.830000000002</v>
      </c>
      <c r="J87" t="s">
        <v>14</v>
      </c>
      <c r="K87" t="s">
        <v>15</v>
      </c>
      <c r="L87">
        <f>tblRawBusinessData3[[#This Row],[Quantity]]*tblRawBusinessData3[[#This Row],[Unit_Price]]-tblRawBusinessData3[[#This Row],[Revenue]]</f>
        <v>0</v>
      </c>
      <c r="M87" s="3">
        <f t="shared" si="14"/>
        <v>0</v>
      </c>
      <c r="N87" s="3" t="str">
        <f t="shared" si="15"/>
        <v>Valid</v>
      </c>
      <c r="O87" s="3" t="str">
        <f t="shared" si="16"/>
        <v>May</v>
      </c>
      <c r="P87" s="3" t="str">
        <f t="shared" si="17"/>
        <v>Q2</v>
      </c>
      <c r="Q87">
        <f t="shared" si="18"/>
        <v>2025</v>
      </c>
      <c r="R87" s="4">
        <f t="shared" si="19"/>
        <v>0.28692234195546973</v>
      </c>
      <c r="S87" s="3" t="str">
        <f t="shared" si="20"/>
        <v>Large</v>
      </c>
    </row>
    <row r="88" spans="1:19" x14ac:dyDescent="0.25">
      <c r="A88" s="1">
        <v>45808</v>
      </c>
      <c r="B88" t="s">
        <v>11</v>
      </c>
      <c r="C88" t="s">
        <v>25</v>
      </c>
      <c r="D88" t="s">
        <v>31</v>
      </c>
      <c r="E88" s="2">
        <v>4</v>
      </c>
      <c r="F88" s="3">
        <v>19544.46</v>
      </c>
      <c r="G88" s="3">
        <v>78177.84</v>
      </c>
      <c r="H88" s="3">
        <v>49023.98</v>
      </c>
      <c r="I88" s="3">
        <v>29153.86</v>
      </c>
      <c r="J88" t="s">
        <v>29</v>
      </c>
      <c r="K88" t="s">
        <v>19</v>
      </c>
      <c r="L88">
        <f>tblRawBusinessData3[[#This Row],[Quantity]]*tblRawBusinessData3[[#This Row],[Unit_Price]]-tblRawBusinessData3[[#This Row],[Revenue]]</f>
        <v>0</v>
      </c>
      <c r="M88" s="3">
        <f t="shared" si="14"/>
        <v>0</v>
      </c>
      <c r="N88" s="3" t="str">
        <f t="shared" si="15"/>
        <v>Valid</v>
      </c>
      <c r="O88" s="3" t="str">
        <f t="shared" si="16"/>
        <v>May</v>
      </c>
      <c r="P88" s="3" t="str">
        <f t="shared" si="17"/>
        <v>Q2</v>
      </c>
      <c r="Q88">
        <f t="shared" si="18"/>
        <v>2025</v>
      </c>
      <c r="R88" s="4">
        <f t="shared" si="19"/>
        <v>0.37291718471628282</v>
      </c>
      <c r="S88" s="3" t="str">
        <f t="shared" si="20"/>
        <v>Large</v>
      </c>
    </row>
    <row r="89" spans="1:19" x14ac:dyDescent="0.25">
      <c r="A89" s="1">
        <v>45811</v>
      </c>
      <c r="B89" t="s">
        <v>39</v>
      </c>
      <c r="C89" t="s">
        <v>12</v>
      </c>
      <c r="D89" t="s">
        <v>48</v>
      </c>
      <c r="E89" s="2">
        <v>1</v>
      </c>
      <c r="F89" s="3">
        <v>36606.19</v>
      </c>
      <c r="G89" s="3">
        <v>36606.19</v>
      </c>
      <c r="H89" s="3">
        <v>23033.51</v>
      </c>
      <c r="I89" s="3">
        <v>13572.68</v>
      </c>
      <c r="J89" t="s">
        <v>14</v>
      </c>
      <c r="K89" t="s">
        <v>30</v>
      </c>
      <c r="L89">
        <f>tblRawBusinessData3[[#This Row],[Quantity]]*tblRawBusinessData3[[#This Row],[Unit_Price]]-tblRawBusinessData3[[#This Row],[Revenue]]</f>
        <v>0</v>
      </c>
      <c r="M89" s="3">
        <f t="shared" si="14"/>
        <v>0</v>
      </c>
      <c r="N89" s="3" t="str">
        <f t="shared" si="15"/>
        <v>Valid</v>
      </c>
      <c r="O89" s="3" t="str">
        <f t="shared" si="16"/>
        <v>Jun</v>
      </c>
      <c r="P89" s="3" t="str">
        <f t="shared" si="17"/>
        <v>Q2</v>
      </c>
      <c r="Q89">
        <f t="shared" si="18"/>
        <v>2025</v>
      </c>
      <c r="R89" s="4">
        <f t="shared" si="19"/>
        <v>0.3707755436990301</v>
      </c>
      <c r="S89" s="3" t="str">
        <f t="shared" si="20"/>
        <v>Large</v>
      </c>
    </row>
    <row r="90" spans="1:19" x14ac:dyDescent="0.25">
      <c r="A90" s="1">
        <v>45812</v>
      </c>
      <c r="B90" t="s">
        <v>55</v>
      </c>
      <c r="C90" t="s">
        <v>34</v>
      </c>
      <c r="D90" t="s">
        <v>52</v>
      </c>
      <c r="E90" s="2">
        <v>9</v>
      </c>
      <c r="F90" s="3">
        <v>2654.14</v>
      </c>
      <c r="G90" s="3">
        <v>23887.26</v>
      </c>
      <c r="H90" s="3">
        <v>20635.79</v>
      </c>
      <c r="I90" s="3">
        <v>3251.47</v>
      </c>
      <c r="J90" t="s">
        <v>32</v>
      </c>
      <c r="K90" t="s">
        <v>15</v>
      </c>
      <c r="L90">
        <f>tblRawBusinessData3[[#This Row],[Quantity]]*tblRawBusinessData3[[#This Row],[Unit_Price]]-tblRawBusinessData3[[#This Row],[Revenue]]</f>
        <v>0</v>
      </c>
      <c r="M90" s="3">
        <f t="shared" si="14"/>
        <v>0</v>
      </c>
      <c r="N90" s="3" t="str">
        <f t="shared" si="15"/>
        <v>Valid</v>
      </c>
      <c r="O90" s="3" t="str">
        <f t="shared" si="16"/>
        <v>Jun</v>
      </c>
      <c r="P90" s="3" t="str">
        <f t="shared" si="17"/>
        <v>Q2</v>
      </c>
      <c r="Q90">
        <f t="shared" si="18"/>
        <v>2025</v>
      </c>
      <c r="R90" s="4">
        <f t="shared" si="19"/>
        <v>0.13611732781407326</v>
      </c>
      <c r="S90" s="3" t="str">
        <f t="shared" si="20"/>
        <v>Medium</v>
      </c>
    </row>
    <row r="91" spans="1:19" x14ac:dyDescent="0.25">
      <c r="A91" s="1">
        <v>45814</v>
      </c>
      <c r="B91" t="s">
        <v>39</v>
      </c>
      <c r="C91" t="s">
        <v>21</v>
      </c>
      <c r="D91" t="s">
        <v>22</v>
      </c>
      <c r="E91" s="2">
        <v>4</v>
      </c>
      <c r="F91" s="3">
        <v>16094.49</v>
      </c>
      <c r="G91" s="3">
        <v>64377.96</v>
      </c>
      <c r="H91" s="3">
        <v>46030.27</v>
      </c>
      <c r="I91" s="3">
        <v>18347.689999999999</v>
      </c>
      <c r="J91" t="s">
        <v>29</v>
      </c>
      <c r="K91" t="s">
        <v>19</v>
      </c>
      <c r="L91">
        <f>tblRawBusinessData3[[#This Row],[Quantity]]*tblRawBusinessData3[[#This Row],[Unit_Price]]-tblRawBusinessData3[[#This Row],[Revenue]]</f>
        <v>0</v>
      </c>
      <c r="M91" s="3">
        <f t="shared" si="14"/>
        <v>0</v>
      </c>
      <c r="N91" s="3" t="str">
        <f t="shared" si="15"/>
        <v>Valid</v>
      </c>
      <c r="O91" s="3" t="str">
        <f t="shared" si="16"/>
        <v>Jun</v>
      </c>
      <c r="P91" s="3" t="str">
        <f t="shared" si="17"/>
        <v>Q2</v>
      </c>
      <c r="Q91">
        <f t="shared" si="18"/>
        <v>2025</v>
      </c>
      <c r="R91" s="4">
        <f t="shared" si="19"/>
        <v>0.28499955574858227</v>
      </c>
      <c r="S91" s="3" t="str">
        <f t="shared" si="20"/>
        <v>Large</v>
      </c>
    </row>
    <row r="92" spans="1:19" x14ac:dyDescent="0.25">
      <c r="A92" s="1">
        <v>45815</v>
      </c>
      <c r="B92" t="s">
        <v>36</v>
      </c>
      <c r="C92" t="s">
        <v>12</v>
      </c>
      <c r="D92" t="s">
        <v>13</v>
      </c>
      <c r="E92" s="2">
        <v>1</v>
      </c>
      <c r="F92" s="3">
        <v>17337.14</v>
      </c>
      <c r="G92" s="3">
        <v>17337.14</v>
      </c>
      <c r="H92" s="3">
        <v>11240.61</v>
      </c>
      <c r="I92" s="3">
        <v>6096.53</v>
      </c>
      <c r="J92" t="s">
        <v>14</v>
      </c>
      <c r="K92" t="s">
        <v>15</v>
      </c>
      <c r="L92">
        <f>tblRawBusinessData3[[#This Row],[Quantity]]*tblRawBusinessData3[[#This Row],[Unit_Price]]-tblRawBusinessData3[[#This Row],[Revenue]]</f>
        <v>0</v>
      </c>
      <c r="M92" s="3">
        <f t="shared" si="14"/>
        <v>0</v>
      </c>
      <c r="N92" s="3" t="str">
        <f t="shared" si="15"/>
        <v>Valid</v>
      </c>
      <c r="O92" s="3" t="str">
        <f t="shared" si="16"/>
        <v>Jun</v>
      </c>
      <c r="P92" s="3" t="str">
        <f t="shared" si="17"/>
        <v>Q2</v>
      </c>
      <c r="Q92">
        <f t="shared" si="18"/>
        <v>2025</v>
      </c>
      <c r="R92" s="4">
        <f t="shared" si="19"/>
        <v>0.35164565781899437</v>
      </c>
      <c r="S92" s="3" t="str">
        <f t="shared" si="20"/>
        <v>Medium</v>
      </c>
    </row>
    <row r="93" spans="1:19" x14ac:dyDescent="0.25">
      <c r="A93" s="1">
        <v>45816</v>
      </c>
      <c r="B93" t="s">
        <v>43</v>
      </c>
      <c r="C93" t="s">
        <v>21</v>
      </c>
      <c r="D93" t="s">
        <v>54</v>
      </c>
      <c r="E93" s="2">
        <v>4</v>
      </c>
      <c r="F93" s="3">
        <v>6380.92</v>
      </c>
      <c r="G93" s="3">
        <v>25523.68</v>
      </c>
      <c r="H93" s="3">
        <v>18976.599999999999</v>
      </c>
      <c r="I93" s="3">
        <v>6547.08</v>
      </c>
      <c r="J93" t="s">
        <v>32</v>
      </c>
      <c r="K93" t="s">
        <v>15</v>
      </c>
      <c r="L93">
        <f>tblRawBusinessData3[[#This Row],[Quantity]]*tblRawBusinessData3[[#This Row],[Unit_Price]]-tblRawBusinessData3[[#This Row],[Revenue]]</f>
        <v>0</v>
      </c>
      <c r="M93" s="3">
        <f t="shared" si="14"/>
        <v>0</v>
      </c>
      <c r="N93" s="3" t="str">
        <f t="shared" si="15"/>
        <v>Valid</v>
      </c>
      <c r="O93" s="3" t="str">
        <f t="shared" si="16"/>
        <v>Jun</v>
      </c>
      <c r="P93" s="3" t="str">
        <f t="shared" si="17"/>
        <v>Q2</v>
      </c>
      <c r="Q93">
        <f t="shared" si="18"/>
        <v>2025</v>
      </c>
      <c r="R93" s="4">
        <f t="shared" si="19"/>
        <v>0.25651003303598852</v>
      </c>
      <c r="S93" s="3" t="str">
        <f t="shared" si="20"/>
        <v>Medium</v>
      </c>
    </row>
    <row r="94" spans="1:19" x14ac:dyDescent="0.25">
      <c r="A94" s="1">
        <v>45819</v>
      </c>
      <c r="B94" t="s">
        <v>33</v>
      </c>
      <c r="C94" t="s">
        <v>34</v>
      </c>
      <c r="D94" t="s">
        <v>52</v>
      </c>
      <c r="E94" s="2">
        <v>12</v>
      </c>
      <c r="F94" s="3">
        <v>2454.5</v>
      </c>
      <c r="G94" s="3">
        <v>29454</v>
      </c>
      <c r="H94" s="3">
        <v>24926.22</v>
      </c>
      <c r="I94" s="3">
        <v>4527.78</v>
      </c>
      <c r="J94" t="s">
        <v>29</v>
      </c>
      <c r="K94" t="s">
        <v>15</v>
      </c>
      <c r="L94">
        <f>tblRawBusinessData3[[#This Row],[Quantity]]*tblRawBusinessData3[[#This Row],[Unit_Price]]-tblRawBusinessData3[[#This Row],[Revenue]]</f>
        <v>0</v>
      </c>
      <c r="M94" s="3">
        <f t="shared" si="14"/>
        <v>0</v>
      </c>
      <c r="N94" s="3" t="str">
        <f t="shared" si="15"/>
        <v>Valid</v>
      </c>
      <c r="O94" s="3" t="str">
        <f t="shared" si="16"/>
        <v>Jun</v>
      </c>
      <c r="P94" s="3" t="str">
        <f t="shared" si="17"/>
        <v>Q2</v>
      </c>
      <c r="Q94">
        <f t="shared" si="18"/>
        <v>2025</v>
      </c>
      <c r="R94" s="4">
        <f t="shared" si="19"/>
        <v>0.15372377266245671</v>
      </c>
      <c r="S94" s="3" t="str">
        <f t="shared" si="20"/>
        <v>Medium</v>
      </c>
    </row>
    <row r="95" spans="1:19" x14ac:dyDescent="0.25">
      <c r="A95" s="1">
        <v>45819</v>
      </c>
      <c r="B95" t="s">
        <v>11</v>
      </c>
      <c r="C95" t="s">
        <v>12</v>
      </c>
      <c r="D95" t="s">
        <v>13</v>
      </c>
      <c r="E95" s="2">
        <v>4</v>
      </c>
      <c r="F95" s="3">
        <v>11040.04</v>
      </c>
      <c r="G95" s="3">
        <v>44160.160000000003</v>
      </c>
      <c r="H95" s="3">
        <v>25419.73</v>
      </c>
      <c r="I95" s="3">
        <v>18740.43</v>
      </c>
      <c r="J95" t="s">
        <v>27</v>
      </c>
      <c r="K95" t="s">
        <v>30</v>
      </c>
      <c r="L95">
        <f>tblRawBusinessData3[[#This Row],[Quantity]]*tblRawBusinessData3[[#This Row],[Unit_Price]]-tblRawBusinessData3[[#This Row],[Revenue]]</f>
        <v>0</v>
      </c>
      <c r="M95" s="3">
        <f t="shared" si="14"/>
        <v>0</v>
      </c>
      <c r="N95" s="3" t="str">
        <f t="shared" si="15"/>
        <v>Valid</v>
      </c>
      <c r="O95" s="3" t="str">
        <f t="shared" si="16"/>
        <v>Jun</v>
      </c>
      <c r="P95" s="3" t="str">
        <f t="shared" si="17"/>
        <v>Q2</v>
      </c>
      <c r="Q95">
        <f t="shared" si="18"/>
        <v>2025</v>
      </c>
      <c r="R95" s="4">
        <f t="shared" si="19"/>
        <v>0.42437414176035593</v>
      </c>
      <c r="S95" s="3" t="str">
        <f t="shared" si="20"/>
        <v>Large</v>
      </c>
    </row>
    <row r="96" spans="1:19" x14ac:dyDescent="0.25">
      <c r="A96" s="1">
        <v>45819</v>
      </c>
      <c r="B96" t="s">
        <v>11</v>
      </c>
      <c r="C96" t="s">
        <v>25</v>
      </c>
      <c r="D96" t="s">
        <v>28</v>
      </c>
      <c r="E96" s="2">
        <v>2</v>
      </c>
      <c r="F96" s="3">
        <v>24840.27</v>
      </c>
      <c r="G96" s="3">
        <v>49680.54</v>
      </c>
      <c r="H96" s="3">
        <v>26544.959999999999</v>
      </c>
      <c r="I96" s="3">
        <v>23135.58</v>
      </c>
      <c r="J96" t="s">
        <v>18</v>
      </c>
      <c r="K96" t="s">
        <v>30</v>
      </c>
      <c r="L96">
        <f>tblRawBusinessData3[[#This Row],[Quantity]]*tblRawBusinessData3[[#This Row],[Unit_Price]]-tblRawBusinessData3[[#This Row],[Revenue]]</f>
        <v>0</v>
      </c>
      <c r="M96" s="3">
        <f t="shared" si="14"/>
        <v>0</v>
      </c>
      <c r="N96" s="3" t="str">
        <f t="shared" si="15"/>
        <v>Valid</v>
      </c>
      <c r="O96" s="3" t="str">
        <f t="shared" si="16"/>
        <v>Jun</v>
      </c>
      <c r="P96" s="3" t="str">
        <f t="shared" si="17"/>
        <v>Q2</v>
      </c>
      <c r="Q96">
        <f t="shared" si="18"/>
        <v>2025</v>
      </c>
      <c r="R96" s="4">
        <f t="shared" si="19"/>
        <v>0.46568696717064673</v>
      </c>
      <c r="S96" s="3" t="str">
        <f t="shared" si="20"/>
        <v>Large</v>
      </c>
    </row>
    <row r="97" spans="1:19" x14ac:dyDescent="0.25">
      <c r="A97" s="1">
        <v>45820</v>
      </c>
      <c r="B97" t="s">
        <v>39</v>
      </c>
      <c r="C97" t="s">
        <v>37</v>
      </c>
      <c r="D97" t="s">
        <v>38</v>
      </c>
      <c r="E97" s="2">
        <v>3</v>
      </c>
      <c r="F97" s="3">
        <v>11326.89</v>
      </c>
      <c r="G97" s="3">
        <v>33980.67</v>
      </c>
      <c r="H97" s="3">
        <v>16673.84</v>
      </c>
      <c r="I97" s="3">
        <v>17306.830000000002</v>
      </c>
      <c r="J97" t="s">
        <v>32</v>
      </c>
      <c r="K97" t="s">
        <v>23</v>
      </c>
      <c r="L97">
        <f>tblRawBusinessData3[[#This Row],[Quantity]]*tblRawBusinessData3[[#This Row],[Unit_Price]]-tblRawBusinessData3[[#This Row],[Revenue]]</f>
        <v>0</v>
      </c>
      <c r="M97" s="3">
        <f t="shared" si="14"/>
        <v>0</v>
      </c>
      <c r="N97" s="3" t="str">
        <f t="shared" si="15"/>
        <v>Valid</v>
      </c>
      <c r="O97" s="3" t="str">
        <f t="shared" si="16"/>
        <v>Jun</v>
      </c>
      <c r="P97" s="3" t="str">
        <f t="shared" si="17"/>
        <v>Q2</v>
      </c>
      <c r="Q97">
        <f t="shared" si="18"/>
        <v>2025</v>
      </c>
      <c r="R97" s="4">
        <f t="shared" si="19"/>
        <v>0.5093139717374614</v>
      </c>
      <c r="S97" s="3" t="str">
        <f t="shared" si="20"/>
        <v>Large</v>
      </c>
    </row>
    <row r="98" spans="1:19" x14ac:dyDescent="0.25">
      <c r="A98" s="1">
        <v>45821</v>
      </c>
      <c r="B98" t="s">
        <v>51</v>
      </c>
      <c r="C98" t="s">
        <v>21</v>
      </c>
      <c r="D98" t="s">
        <v>40</v>
      </c>
      <c r="E98" s="2">
        <v>3</v>
      </c>
      <c r="F98" s="3">
        <v>29647.279999999999</v>
      </c>
      <c r="G98" s="3">
        <v>88941.84</v>
      </c>
      <c r="H98" s="3">
        <v>65148.81</v>
      </c>
      <c r="I98" s="3">
        <v>23793.03</v>
      </c>
      <c r="J98" t="s">
        <v>14</v>
      </c>
      <c r="K98" t="s">
        <v>19</v>
      </c>
      <c r="L98">
        <f>tblRawBusinessData3[[#This Row],[Quantity]]*tblRawBusinessData3[[#This Row],[Unit_Price]]-tblRawBusinessData3[[#This Row],[Revenue]]</f>
        <v>0</v>
      </c>
      <c r="M98" s="3">
        <f t="shared" ref="M98:M129" si="21">G98-H98-I98</f>
        <v>0</v>
      </c>
      <c r="N98" s="3" t="str">
        <f t="shared" ref="N98:N129" si="22">IF(H98&lt;G98,"Valid","Check")</f>
        <v>Valid</v>
      </c>
      <c r="O98" s="3" t="str">
        <f t="shared" ref="O98:O129" si="23">TEXT(A98,"mmm")</f>
        <v>Jun</v>
      </c>
      <c r="P98" s="3" t="str">
        <f t="shared" ref="P98:P129" si="24">"Q"&amp;ROUNDUP(MONTH(A98)/3,0)</f>
        <v>Q2</v>
      </c>
      <c r="Q98">
        <f t="shared" ref="Q98:Q129" si="25">YEAR(A98)</f>
        <v>2025</v>
      </c>
      <c r="R98" s="4">
        <f t="shared" ref="R98:R129" si="26">I98/G98</f>
        <v>0.26751223046431238</v>
      </c>
      <c r="S98" s="3" t="str">
        <f t="shared" ref="S98:S129" si="27">IF(G98&lt;10000,"Small",IF(G98&lt;30000,"Medium","Large"))</f>
        <v>Large</v>
      </c>
    </row>
    <row r="99" spans="1:19" x14ac:dyDescent="0.25">
      <c r="A99" s="1">
        <v>45822</v>
      </c>
      <c r="B99" t="s">
        <v>20</v>
      </c>
      <c r="C99" t="s">
        <v>37</v>
      </c>
      <c r="D99" t="s">
        <v>45</v>
      </c>
      <c r="E99" s="2">
        <v>1</v>
      </c>
      <c r="F99" s="3">
        <v>16545.689999999999</v>
      </c>
      <c r="G99" s="3">
        <v>16545.689999999999</v>
      </c>
      <c r="H99" s="3">
        <v>5477.28</v>
      </c>
      <c r="I99" s="3">
        <v>11068.41</v>
      </c>
      <c r="J99" t="s">
        <v>29</v>
      </c>
      <c r="K99" t="s">
        <v>46</v>
      </c>
      <c r="L99">
        <f>tblRawBusinessData3[[#This Row],[Quantity]]*tblRawBusinessData3[[#This Row],[Unit_Price]]-tblRawBusinessData3[[#This Row],[Revenue]]</f>
        <v>0</v>
      </c>
      <c r="M99" s="3">
        <f t="shared" si="21"/>
        <v>0</v>
      </c>
      <c r="N99" s="3" t="str">
        <f t="shared" si="22"/>
        <v>Valid</v>
      </c>
      <c r="O99" s="3" t="str">
        <f t="shared" si="23"/>
        <v>Jun</v>
      </c>
      <c r="P99" s="3" t="str">
        <f t="shared" si="24"/>
        <v>Q2</v>
      </c>
      <c r="Q99">
        <f t="shared" si="25"/>
        <v>2025</v>
      </c>
      <c r="R99" s="4">
        <f t="shared" si="26"/>
        <v>0.66896031534496303</v>
      </c>
      <c r="S99" s="3" t="str">
        <f t="shared" si="27"/>
        <v>Medium</v>
      </c>
    </row>
    <row r="100" spans="1:19" x14ac:dyDescent="0.25">
      <c r="A100" s="1">
        <v>45822</v>
      </c>
      <c r="B100" t="s">
        <v>24</v>
      </c>
      <c r="C100" t="s">
        <v>21</v>
      </c>
      <c r="D100" t="s">
        <v>22</v>
      </c>
      <c r="E100" s="2">
        <v>6</v>
      </c>
      <c r="F100" s="3">
        <v>13630.9</v>
      </c>
      <c r="G100" s="3">
        <v>81785.399999999994</v>
      </c>
      <c r="H100" s="3">
        <v>58333.78</v>
      </c>
      <c r="I100" s="3">
        <v>23451.62</v>
      </c>
      <c r="J100" t="s">
        <v>32</v>
      </c>
      <c r="K100" t="s">
        <v>46</v>
      </c>
      <c r="L100">
        <f>tblRawBusinessData3[[#This Row],[Quantity]]*tblRawBusinessData3[[#This Row],[Unit_Price]]-tblRawBusinessData3[[#This Row],[Revenue]]</f>
        <v>0</v>
      </c>
      <c r="M100" s="3">
        <f t="shared" si="21"/>
        <v>0</v>
      </c>
      <c r="N100" s="3" t="str">
        <f t="shared" si="22"/>
        <v>Valid</v>
      </c>
      <c r="O100" s="3" t="str">
        <f t="shared" si="23"/>
        <v>Jun</v>
      </c>
      <c r="P100" s="3" t="str">
        <f t="shared" si="24"/>
        <v>Q2</v>
      </c>
      <c r="Q100">
        <f t="shared" si="25"/>
        <v>2025</v>
      </c>
      <c r="R100" s="4">
        <f t="shared" si="26"/>
        <v>0.28674580059521626</v>
      </c>
      <c r="S100" s="3" t="str">
        <f t="shared" si="27"/>
        <v>Large</v>
      </c>
    </row>
    <row r="101" spans="1:19" x14ac:dyDescent="0.25">
      <c r="A101" s="1">
        <v>45822</v>
      </c>
      <c r="B101" t="s">
        <v>39</v>
      </c>
      <c r="C101" t="s">
        <v>25</v>
      </c>
      <c r="D101" t="s">
        <v>31</v>
      </c>
      <c r="E101" s="2">
        <v>2</v>
      </c>
      <c r="F101" s="3">
        <v>15814.95</v>
      </c>
      <c r="G101" s="3">
        <v>31629.9</v>
      </c>
      <c r="H101" s="3">
        <v>20056.650000000001</v>
      </c>
      <c r="I101" s="3">
        <v>11573.25</v>
      </c>
      <c r="J101" t="s">
        <v>27</v>
      </c>
      <c r="K101" t="s">
        <v>23</v>
      </c>
      <c r="L101">
        <f>tblRawBusinessData3[[#This Row],[Quantity]]*tblRawBusinessData3[[#This Row],[Unit_Price]]-tblRawBusinessData3[[#This Row],[Revenue]]</f>
        <v>0</v>
      </c>
      <c r="M101" s="3">
        <f t="shared" si="21"/>
        <v>0</v>
      </c>
      <c r="N101" s="3" t="str">
        <f t="shared" si="22"/>
        <v>Valid</v>
      </c>
      <c r="O101" s="3" t="str">
        <f t="shared" si="23"/>
        <v>Jun</v>
      </c>
      <c r="P101" s="3" t="str">
        <f t="shared" si="24"/>
        <v>Q2</v>
      </c>
      <c r="Q101">
        <f t="shared" si="25"/>
        <v>2025</v>
      </c>
      <c r="R101" s="4">
        <f t="shared" si="26"/>
        <v>0.36589587700245652</v>
      </c>
      <c r="S101" s="3" t="str">
        <f t="shared" si="27"/>
        <v>Large</v>
      </c>
    </row>
    <row r="102" spans="1:19" x14ac:dyDescent="0.25">
      <c r="A102" s="1">
        <v>45822</v>
      </c>
      <c r="B102" t="s">
        <v>33</v>
      </c>
      <c r="C102" t="s">
        <v>34</v>
      </c>
      <c r="D102" t="s">
        <v>35</v>
      </c>
      <c r="E102" s="2">
        <v>6</v>
      </c>
      <c r="F102" s="3">
        <v>2741.08</v>
      </c>
      <c r="G102" s="3">
        <v>16446.48</v>
      </c>
      <c r="H102" s="3">
        <v>12116.71</v>
      </c>
      <c r="I102" s="3">
        <v>4329.7700000000004</v>
      </c>
      <c r="J102" t="s">
        <v>14</v>
      </c>
      <c r="K102" t="s">
        <v>46</v>
      </c>
      <c r="L102">
        <f>tblRawBusinessData3[[#This Row],[Quantity]]*tblRawBusinessData3[[#This Row],[Unit_Price]]-tblRawBusinessData3[[#This Row],[Revenue]]</f>
        <v>0</v>
      </c>
      <c r="M102" s="3">
        <f t="shared" si="21"/>
        <v>0</v>
      </c>
      <c r="N102" s="3" t="str">
        <f t="shared" si="22"/>
        <v>Valid</v>
      </c>
      <c r="O102" s="3" t="str">
        <f t="shared" si="23"/>
        <v>Jun</v>
      </c>
      <c r="P102" s="3" t="str">
        <f t="shared" si="24"/>
        <v>Q2</v>
      </c>
      <c r="Q102">
        <f t="shared" si="25"/>
        <v>2025</v>
      </c>
      <c r="R102" s="4">
        <f t="shared" si="26"/>
        <v>0.26326423648099778</v>
      </c>
      <c r="S102" s="3" t="str">
        <f t="shared" si="27"/>
        <v>Medium</v>
      </c>
    </row>
    <row r="103" spans="1:19" x14ac:dyDescent="0.25">
      <c r="A103" s="1">
        <v>45822</v>
      </c>
      <c r="B103" t="s">
        <v>36</v>
      </c>
      <c r="C103" t="s">
        <v>34</v>
      </c>
      <c r="D103" t="s">
        <v>49</v>
      </c>
      <c r="E103" s="2">
        <v>10</v>
      </c>
      <c r="F103" s="3">
        <v>947.5</v>
      </c>
      <c r="G103" s="3">
        <v>9475</v>
      </c>
      <c r="H103" s="3">
        <v>8296.1299999999992</v>
      </c>
      <c r="I103" s="3">
        <v>1178.8699999999999</v>
      </c>
      <c r="J103" t="s">
        <v>29</v>
      </c>
      <c r="K103" t="s">
        <v>30</v>
      </c>
      <c r="L103">
        <f>tblRawBusinessData3[[#This Row],[Quantity]]*tblRawBusinessData3[[#This Row],[Unit_Price]]-tblRawBusinessData3[[#This Row],[Revenue]]</f>
        <v>0</v>
      </c>
      <c r="M103" s="3">
        <f t="shared" si="21"/>
        <v>0</v>
      </c>
      <c r="N103" s="3" t="str">
        <f t="shared" si="22"/>
        <v>Valid</v>
      </c>
      <c r="O103" s="3" t="str">
        <f t="shared" si="23"/>
        <v>Jun</v>
      </c>
      <c r="P103" s="3" t="str">
        <f t="shared" si="24"/>
        <v>Q2</v>
      </c>
      <c r="Q103">
        <f t="shared" si="25"/>
        <v>2025</v>
      </c>
      <c r="R103" s="4">
        <f t="shared" si="26"/>
        <v>0.12441899736147756</v>
      </c>
      <c r="S103" s="3" t="str">
        <f t="shared" si="27"/>
        <v>Small</v>
      </c>
    </row>
    <row r="104" spans="1:19" x14ac:dyDescent="0.25">
      <c r="A104" s="1">
        <v>45823</v>
      </c>
      <c r="B104" t="s">
        <v>55</v>
      </c>
      <c r="C104" t="s">
        <v>37</v>
      </c>
      <c r="D104" t="s">
        <v>45</v>
      </c>
      <c r="E104" s="2">
        <v>1</v>
      </c>
      <c r="F104" s="3">
        <v>17091</v>
      </c>
      <c r="G104" s="3">
        <v>17091</v>
      </c>
      <c r="H104" s="3">
        <v>5717.74</v>
      </c>
      <c r="I104" s="3">
        <v>11373.26</v>
      </c>
      <c r="J104" t="s">
        <v>32</v>
      </c>
      <c r="K104" t="s">
        <v>15</v>
      </c>
      <c r="L104">
        <f>tblRawBusinessData3[[#This Row],[Quantity]]*tblRawBusinessData3[[#This Row],[Unit_Price]]-tblRawBusinessData3[[#This Row],[Revenue]]</f>
        <v>0</v>
      </c>
      <c r="M104" s="3">
        <f t="shared" si="21"/>
        <v>0</v>
      </c>
      <c r="N104" s="3" t="str">
        <f t="shared" si="22"/>
        <v>Valid</v>
      </c>
      <c r="O104" s="3" t="str">
        <f t="shared" si="23"/>
        <v>Jun</v>
      </c>
      <c r="P104" s="3" t="str">
        <f t="shared" si="24"/>
        <v>Q2</v>
      </c>
      <c r="Q104">
        <f t="shared" si="25"/>
        <v>2025</v>
      </c>
      <c r="R104" s="4">
        <f t="shared" si="26"/>
        <v>0.66545316248317832</v>
      </c>
      <c r="S104" s="3" t="str">
        <f t="shared" si="27"/>
        <v>Medium</v>
      </c>
    </row>
    <row r="105" spans="1:19" x14ac:dyDescent="0.25">
      <c r="A105" s="1">
        <v>45826</v>
      </c>
      <c r="B105" t="s">
        <v>39</v>
      </c>
      <c r="C105" t="s">
        <v>25</v>
      </c>
      <c r="D105" t="s">
        <v>31</v>
      </c>
      <c r="E105" s="2">
        <v>3</v>
      </c>
      <c r="F105" s="3">
        <v>12798.53</v>
      </c>
      <c r="G105" s="3">
        <v>38395.589999999997</v>
      </c>
      <c r="H105" s="3">
        <v>21449.24</v>
      </c>
      <c r="I105" s="3">
        <v>16946.349999999999</v>
      </c>
      <c r="J105" t="s">
        <v>27</v>
      </c>
      <c r="K105" t="s">
        <v>46</v>
      </c>
      <c r="L105">
        <f>tblRawBusinessData3[[#This Row],[Quantity]]*tblRawBusinessData3[[#This Row],[Unit_Price]]-tblRawBusinessData3[[#This Row],[Revenue]]</f>
        <v>0</v>
      </c>
      <c r="M105" s="3">
        <f t="shared" si="21"/>
        <v>0</v>
      </c>
      <c r="N105" s="3" t="str">
        <f t="shared" si="22"/>
        <v>Valid</v>
      </c>
      <c r="O105" s="3" t="str">
        <f t="shared" si="23"/>
        <v>Jun</v>
      </c>
      <c r="P105" s="3" t="str">
        <f t="shared" si="24"/>
        <v>Q2</v>
      </c>
      <c r="Q105">
        <f t="shared" si="25"/>
        <v>2025</v>
      </c>
      <c r="R105" s="4">
        <f t="shared" si="26"/>
        <v>0.44136188557071265</v>
      </c>
      <c r="S105" s="3" t="str">
        <f t="shared" si="27"/>
        <v>Large</v>
      </c>
    </row>
    <row r="106" spans="1:19" x14ac:dyDescent="0.25">
      <c r="A106" s="1">
        <v>45828</v>
      </c>
      <c r="B106" t="s">
        <v>33</v>
      </c>
      <c r="C106" t="s">
        <v>34</v>
      </c>
      <c r="D106" t="s">
        <v>49</v>
      </c>
      <c r="E106" s="2">
        <v>5</v>
      </c>
      <c r="F106" s="3">
        <v>2187.96</v>
      </c>
      <c r="G106" s="3">
        <v>10939.8</v>
      </c>
      <c r="H106" s="3">
        <v>9624.6200000000008</v>
      </c>
      <c r="I106" s="3">
        <v>1315.18</v>
      </c>
      <c r="J106" t="s">
        <v>14</v>
      </c>
      <c r="K106" t="s">
        <v>15</v>
      </c>
      <c r="L106">
        <f>tblRawBusinessData3[[#This Row],[Quantity]]*tblRawBusinessData3[[#This Row],[Unit_Price]]-tblRawBusinessData3[[#This Row],[Revenue]]</f>
        <v>0</v>
      </c>
      <c r="M106" s="3">
        <f t="shared" si="21"/>
        <v>0</v>
      </c>
      <c r="N106" s="3" t="str">
        <f t="shared" si="22"/>
        <v>Valid</v>
      </c>
      <c r="O106" s="3" t="str">
        <f t="shared" si="23"/>
        <v>Jun</v>
      </c>
      <c r="P106" s="3" t="str">
        <f t="shared" si="24"/>
        <v>Q2</v>
      </c>
      <c r="Q106">
        <f t="shared" si="25"/>
        <v>2025</v>
      </c>
      <c r="R106" s="4">
        <f t="shared" si="26"/>
        <v>0.12021974807583322</v>
      </c>
      <c r="S106" s="3" t="str">
        <f t="shared" si="27"/>
        <v>Medium</v>
      </c>
    </row>
    <row r="107" spans="1:19" x14ac:dyDescent="0.25">
      <c r="A107" s="1">
        <v>45828</v>
      </c>
      <c r="B107" t="s">
        <v>11</v>
      </c>
      <c r="C107" t="s">
        <v>12</v>
      </c>
      <c r="D107" t="s">
        <v>48</v>
      </c>
      <c r="E107" s="2">
        <v>2</v>
      </c>
      <c r="F107" s="3">
        <v>18399.96</v>
      </c>
      <c r="G107" s="3">
        <v>36799.919999999998</v>
      </c>
      <c r="H107" s="3">
        <v>23082.83</v>
      </c>
      <c r="I107" s="3">
        <v>13717.09</v>
      </c>
      <c r="J107" t="s">
        <v>18</v>
      </c>
      <c r="K107" t="s">
        <v>30</v>
      </c>
      <c r="L107">
        <f>tblRawBusinessData3[[#This Row],[Quantity]]*tblRawBusinessData3[[#This Row],[Unit_Price]]-tblRawBusinessData3[[#This Row],[Revenue]]</f>
        <v>0</v>
      </c>
      <c r="M107" s="3">
        <f t="shared" si="21"/>
        <v>0</v>
      </c>
      <c r="N107" s="3" t="str">
        <f t="shared" si="22"/>
        <v>Valid</v>
      </c>
      <c r="O107" s="3" t="str">
        <f t="shared" si="23"/>
        <v>Jun</v>
      </c>
      <c r="P107" s="3" t="str">
        <f t="shared" si="24"/>
        <v>Q2</v>
      </c>
      <c r="Q107">
        <f t="shared" si="25"/>
        <v>2025</v>
      </c>
      <c r="R107" s="4">
        <f t="shared" si="26"/>
        <v>0.37274782119091565</v>
      </c>
      <c r="S107" s="3" t="str">
        <f t="shared" si="27"/>
        <v>Large</v>
      </c>
    </row>
    <row r="108" spans="1:19" x14ac:dyDescent="0.25">
      <c r="A108" s="1">
        <v>45829</v>
      </c>
      <c r="B108" t="s">
        <v>39</v>
      </c>
      <c r="C108" t="s">
        <v>21</v>
      </c>
      <c r="D108" t="s">
        <v>54</v>
      </c>
      <c r="E108" s="2">
        <v>3</v>
      </c>
      <c r="F108" s="3">
        <v>5886.02</v>
      </c>
      <c r="G108" s="3">
        <v>17658.060000000001</v>
      </c>
      <c r="H108" s="3">
        <v>13826.16</v>
      </c>
      <c r="I108" s="3">
        <v>3831.9</v>
      </c>
      <c r="J108" t="s">
        <v>32</v>
      </c>
      <c r="K108" t="s">
        <v>46</v>
      </c>
      <c r="L108">
        <f>tblRawBusinessData3[[#This Row],[Quantity]]*tblRawBusinessData3[[#This Row],[Unit_Price]]-tblRawBusinessData3[[#This Row],[Revenue]]</f>
        <v>0</v>
      </c>
      <c r="M108" s="3">
        <f t="shared" si="21"/>
        <v>0</v>
      </c>
      <c r="N108" s="3" t="str">
        <f t="shared" si="22"/>
        <v>Valid</v>
      </c>
      <c r="O108" s="3" t="str">
        <f t="shared" si="23"/>
        <v>Jun</v>
      </c>
      <c r="P108" s="3" t="str">
        <f t="shared" si="24"/>
        <v>Q2</v>
      </c>
      <c r="Q108">
        <f t="shared" si="25"/>
        <v>2025</v>
      </c>
      <c r="R108" s="4">
        <f t="shared" si="26"/>
        <v>0.21700571863500293</v>
      </c>
      <c r="S108" s="3" t="str">
        <f t="shared" si="27"/>
        <v>Medium</v>
      </c>
    </row>
    <row r="109" spans="1:19" x14ac:dyDescent="0.25">
      <c r="A109" s="1">
        <v>45830</v>
      </c>
      <c r="B109" t="s">
        <v>20</v>
      </c>
      <c r="C109" t="s">
        <v>37</v>
      </c>
      <c r="D109" t="s">
        <v>38</v>
      </c>
      <c r="E109" s="2">
        <v>3</v>
      </c>
      <c r="F109" s="3">
        <v>8608.4</v>
      </c>
      <c r="G109" s="3">
        <v>25825.200000000001</v>
      </c>
      <c r="H109" s="3">
        <v>11173.98</v>
      </c>
      <c r="I109" s="3">
        <v>14651.22</v>
      </c>
      <c r="J109" t="s">
        <v>14</v>
      </c>
      <c r="K109" t="s">
        <v>19</v>
      </c>
      <c r="L109">
        <f>tblRawBusinessData3[[#This Row],[Quantity]]*tblRawBusinessData3[[#This Row],[Unit_Price]]-tblRawBusinessData3[[#This Row],[Revenue]]</f>
        <v>0</v>
      </c>
      <c r="M109" s="3">
        <f t="shared" si="21"/>
        <v>0</v>
      </c>
      <c r="N109" s="3" t="str">
        <f t="shared" si="22"/>
        <v>Valid</v>
      </c>
      <c r="O109" s="3" t="str">
        <f t="shared" si="23"/>
        <v>Jun</v>
      </c>
      <c r="P109" s="3" t="str">
        <f t="shared" si="24"/>
        <v>Q2</v>
      </c>
      <c r="Q109">
        <f t="shared" si="25"/>
        <v>2025</v>
      </c>
      <c r="R109" s="4">
        <f t="shared" si="26"/>
        <v>0.56732261512011517</v>
      </c>
      <c r="S109" s="3" t="str">
        <f t="shared" si="27"/>
        <v>Medium</v>
      </c>
    </row>
    <row r="110" spans="1:19" x14ac:dyDescent="0.25">
      <c r="A110" s="1">
        <v>45835</v>
      </c>
      <c r="B110" t="s">
        <v>50</v>
      </c>
      <c r="C110" t="s">
        <v>34</v>
      </c>
      <c r="D110" t="s">
        <v>52</v>
      </c>
      <c r="E110" s="2">
        <v>13</v>
      </c>
      <c r="F110" s="3">
        <v>2440.4299999999998</v>
      </c>
      <c r="G110" s="3">
        <v>31725.59</v>
      </c>
      <c r="H110" s="3">
        <v>24478.47</v>
      </c>
      <c r="I110" s="3">
        <v>7247.12</v>
      </c>
      <c r="J110" t="s">
        <v>14</v>
      </c>
      <c r="K110" t="s">
        <v>19</v>
      </c>
      <c r="L110">
        <f>tblRawBusinessData3[[#This Row],[Quantity]]*tblRawBusinessData3[[#This Row],[Unit_Price]]-tblRawBusinessData3[[#This Row],[Revenue]]</f>
        <v>0</v>
      </c>
      <c r="M110" s="3">
        <f t="shared" si="21"/>
        <v>0</v>
      </c>
      <c r="N110" s="3" t="str">
        <f t="shared" si="22"/>
        <v>Valid</v>
      </c>
      <c r="O110" s="3" t="str">
        <f t="shared" si="23"/>
        <v>Jun</v>
      </c>
      <c r="P110" s="3" t="str">
        <f t="shared" si="24"/>
        <v>Q2</v>
      </c>
      <c r="Q110">
        <f t="shared" si="25"/>
        <v>2025</v>
      </c>
      <c r="R110" s="4">
        <f t="shared" si="26"/>
        <v>0.228431370385862</v>
      </c>
      <c r="S110" s="3" t="str">
        <f t="shared" si="27"/>
        <v>Large</v>
      </c>
    </row>
    <row r="111" spans="1:19" x14ac:dyDescent="0.25">
      <c r="A111" s="1">
        <v>45838</v>
      </c>
      <c r="B111" t="s">
        <v>55</v>
      </c>
      <c r="C111" t="s">
        <v>37</v>
      </c>
      <c r="D111" t="s">
        <v>47</v>
      </c>
      <c r="E111" s="2">
        <v>1</v>
      </c>
      <c r="F111" s="3">
        <v>15854.02</v>
      </c>
      <c r="G111" s="3">
        <v>15854.02</v>
      </c>
      <c r="H111" s="3">
        <v>5142.1899999999996</v>
      </c>
      <c r="I111" s="3">
        <v>10711.83</v>
      </c>
      <c r="J111" t="s">
        <v>27</v>
      </c>
      <c r="K111" t="s">
        <v>15</v>
      </c>
      <c r="L111">
        <f>tblRawBusinessData3[[#This Row],[Quantity]]*tblRawBusinessData3[[#This Row],[Unit_Price]]-tblRawBusinessData3[[#This Row],[Revenue]]</f>
        <v>0</v>
      </c>
      <c r="M111" s="3">
        <f t="shared" si="21"/>
        <v>0</v>
      </c>
      <c r="N111" s="3" t="str">
        <f t="shared" si="22"/>
        <v>Valid</v>
      </c>
      <c r="O111" s="3" t="str">
        <f t="shared" si="23"/>
        <v>Jun</v>
      </c>
      <c r="P111" s="3" t="str">
        <f t="shared" si="24"/>
        <v>Q2</v>
      </c>
      <c r="Q111">
        <f t="shared" si="25"/>
        <v>2025</v>
      </c>
      <c r="R111" s="4">
        <f t="shared" si="26"/>
        <v>0.67565387201479499</v>
      </c>
      <c r="S111" s="3" t="str">
        <f t="shared" si="27"/>
        <v>Medium</v>
      </c>
    </row>
    <row r="112" spans="1:19" x14ac:dyDescent="0.25">
      <c r="A112" s="1">
        <v>45840</v>
      </c>
      <c r="B112" t="s">
        <v>53</v>
      </c>
      <c r="C112" t="s">
        <v>37</v>
      </c>
      <c r="D112" t="s">
        <v>47</v>
      </c>
      <c r="E112" s="2">
        <v>1</v>
      </c>
      <c r="F112" s="3">
        <v>12192.25</v>
      </c>
      <c r="G112" s="3">
        <v>12192.25</v>
      </c>
      <c r="H112" s="3">
        <v>4460.21</v>
      </c>
      <c r="I112" s="3">
        <v>7732.04</v>
      </c>
      <c r="J112" t="s">
        <v>27</v>
      </c>
      <c r="K112" t="s">
        <v>15</v>
      </c>
      <c r="L112">
        <f>tblRawBusinessData3[[#This Row],[Quantity]]*tblRawBusinessData3[[#This Row],[Unit_Price]]-tblRawBusinessData3[[#This Row],[Revenue]]</f>
        <v>0</v>
      </c>
      <c r="M112" s="3">
        <f t="shared" si="21"/>
        <v>0</v>
      </c>
      <c r="N112" s="3" t="str">
        <f t="shared" si="22"/>
        <v>Valid</v>
      </c>
      <c r="O112" s="3" t="str">
        <f t="shared" si="23"/>
        <v>Jul</v>
      </c>
      <c r="P112" s="3" t="str">
        <f t="shared" si="24"/>
        <v>Q3</v>
      </c>
      <c r="Q112">
        <f t="shared" si="25"/>
        <v>2025</v>
      </c>
      <c r="R112" s="4">
        <f t="shared" si="26"/>
        <v>0.63417662859603441</v>
      </c>
      <c r="S112" s="3" t="str">
        <f t="shared" si="27"/>
        <v>Medium</v>
      </c>
    </row>
    <row r="113" spans="1:19" x14ac:dyDescent="0.25">
      <c r="A113" s="1">
        <v>45842</v>
      </c>
      <c r="B113" t="s">
        <v>51</v>
      </c>
      <c r="C113" t="s">
        <v>21</v>
      </c>
      <c r="D113" t="s">
        <v>54</v>
      </c>
      <c r="E113" s="2">
        <v>3</v>
      </c>
      <c r="F113" s="3">
        <v>6030.69</v>
      </c>
      <c r="G113" s="3">
        <v>18092.07</v>
      </c>
      <c r="H113" s="3">
        <v>13678.73</v>
      </c>
      <c r="I113" s="3">
        <v>4413.34</v>
      </c>
      <c r="J113" t="s">
        <v>32</v>
      </c>
      <c r="K113" t="s">
        <v>19</v>
      </c>
      <c r="L113">
        <f>tblRawBusinessData3[[#This Row],[Quantity]]*tblRawBusinessData3[[#This Row],[Unit_Price]]-tblRawBusinessData3[[#This Row],[Revenue]]</f>
        <v>0</v>
      </c>
      <c r="M113" s="3">
        <f t="shared" si="21"/>
        <v>0</v>
      </c>
      <c r="N113" s="3" t="str">
        <f t="shared" si="22"/>
        <v>Valid</v>
      </c>
      <c r="O113" s="3" t="str">
        <f t="shared" si="23"/>
        <v>Jul</v>
      </c>
      <c r="P113" s="3" t="str">
        <f t="shared" si="24"/>
        <v>Q3</v>
      </c>
      <c r="Q113">
        <f t="shared" si="25"/>
        <v>2025</v>
      </c>
      <c r="R113" s="4">
        <f t="shared" si="26"/>
        <v>0.24393781363879313</v>
      </c>
      <c r="S113" s="3" t="str">
        <f t="shared" si="27"/>
        <v>Medium</v>
      </c>
    </row>
    <row r="114" spans="1:19" x14ac:dyDescent="0.25">
      <c r="A114" s="1">
        <v>45843</v>
      </c>
      <c r="B114" t="s">
        <v>50</v>
      </c>
      <c r="C114" t="s">
        <v>21</v>
      </c>
      <c r="D114" t="s">
        <v>22</v>
      </c>
      <c r="E114" s="2">
        <v>8</v>
      </c>
      <c r="F114" s="3">
        <v>7527.31</v>
      </c>
      <c r="G114" s="3">
        <v>60218.48</v>
      </c>
      <c r="H114" s="3">
        <v>41860.910000000003</v>
      </c>
      <c r="I114" s="3">
        <v>18357.57</v>
      </c>
      <c r="J114" t="s">
        <v>18</v>
      </c>
      <c r="K114" t="s">
        <v>46</v>
      </c>
      <c r="L114">
        <f>tblRawBusinessData3[[#This Row],[Quantity]]*tblRawBusinessData3[[#This Row],[Unit_Price]]-tblRawBusinessData3[[#This Row],[Revenue]]</f>
        <v>0</v>
      </c>
      <c r="M114" s="3">
        <f t="shared" si="21"/>
        <v>0</v>
      </c>
      <c r="N114" s="3" t="str">
        <f t="shared" si="22"/>
        <v>Valid</v>
      </c>
      <c r="O114" s="3" t="str">
        <f t="shared" si="23"/>
        <v>Jul</v>
      </c>
      <c r="P114" s="3" t="str">
        <f t="shared" si="24"/>
        <v>Q3</v>
      </c>
      <c r="Q114">
        <f t="shared" si="25"/>
        <v>2025</v>
      </c>
      <c r="R114" s="4">
        <f t="shared" si="26"/>
        <v>0.30484944156677485</v>
      </c>
      <c r="S114" s="3" t="str">
        <f t="shared" si="27"/>
        <v>Large</v>
      </c>
    </row>
    <row r="115" spans="1:19" x14ac:dyDescent="0.25">
      <c r="A115" s="1">
        <v>45844</v>
      </c>
      <c r="B115" t="s">
        <v>51</v>
      </c>
      <c r="C115" t="s">
        <v>34</v>
      </c>
      <c r="D115" t="s">
        <v>49</v>
      </c>
      <c r="E115" s="2">
        <v>6</v>
      </c>
      <c r="F115" s="3">
        <v>2419.11</v>
      </c>
      <c r="G115" s="3">
        <v>14514.66</v>
      </c>
      <c r="H115" s="3">
        <v>12030.44</v>
      </c>
      <c r="I115" s="3">
        <v>2484.2199999999998</v>
      </c>
      <c r="J115" t="s">
        <v>18</v>
      </c>
      <c r="K115" t="s">
        <v>30</v>
      </c>
      <c r="L115">
        <f>tblRawBusinessData3[[#This Row],[Quantity]]*tblRawBusinessData3[[#This Row],[Unit_Price]]-tblRawBusinessData3[[#This Row],[Revenue]]</f>
        <v>0</v>
      </c>
      <c r="M115" s="3">
        <f t="shared" si="21"/>
        <v>0</v>
      </c>
      <c r="N115" s="3" t="str">
        <f t="shared" si="22"/>
        <v>Valid</v>
      </c>
      <c r="O115" s="3" t="str">
        <f t="shared" si="23"/>
        <v>Jul</v>
      </c>
      <c r="P115" s="3" t="str">
        <f t="shared" si="24"/>
        <v>Q3</v>
      </c>
      <c r="Q115">
        <f t="shared" si="25"/>
        <v>2025</v>
      </c>
      <c r="R115" s="4">
        <f t="shared" si="26"/>
        <v>0.17115247618614557</v>
      </c>
      <c r="S115" s="3" t="str">
        <f t="shared" si="27"/>
        <v>Medium</v>
      </c>
    </row>
    <row r="116" spans="1:19" x14ac:dyDescent="0.25">
      <c r="A116" s="1">
        <v>45850</v>
      </c>
      <c r="B116" t="s">
        <v>33</v>
      </c>
      <c r="C116" t="s">
        <v>25</v>
      </c>
      <c r="D116" t="s">
        <v>28</v>
      </c>
      <c r="E116" s="2">
        <v>1</v>
      </c>
      <c r="F116" s="3">
        <v>43462.32</v>
      </c>
      <c r="G116" s="3">
        <v>43462.32</v>
      </c>
      <c r="H116" s="3">
        <v>24287.46</v>
      </c>
      <c r="I116" s="3">
        <v>19174.86</v>
      </c>
      <c r="J116" t="s">
        <v>18</v>
      </c>
      <c r="K116" t="s">
        <v>30</v>
      </c>
      <c r="L116">
        <f>tblRawBusinessData3[[#This Row],[Quantity]]*tblRawBusinessData3[[#This Row],[Unit_Price]]-tblRawBusinessData3[[#This Row],[Revenue]]</f>
        <v>0</v>
      </c>
      <c r="M116" s="3">
        <f t="shared" si="21"/>
        <v>0</v>
      </c>
      <c r="N116" s="3" t="str">
        <f t="shared" si="22"/>
        <v>Valid</v>
      </c>
      <c r="O116" s="3" t="str">
        <f t="shared" si="23"/>
        <v>Jul</v>
      </c>
      <c r="P116" s="3" t="str">
        <f t="shared" si="24"/>
        <v>Q3</v>
      </c>
      <c r="Q116">
        <f t="shared" si="25"/>
        <v>2025</v>
      </c>
      <c r="R116" s="4">
        <f t="shared" si="26"/>
        <v>0.44118353553146727</v>
      </c>
      <c r="S116" s="3" t="str">
        <f t="shared" si="27"/>
        <v>Large</v>
      </c>
    </row>
    <row r="117" spans="1:19" x14ac:dyDescent="0.25">
      <c r="A117" s="1">
        <v>45850</v>
      </c>
      <c r="B117" t="s">
        <v>24</v>
      </c>
      <c r="C117" t="s">
        <v>21</v>
      </c>
      <c r="D117" t="s">
        <v>54</v>
      </c>
      <c r="E117" s="2">
        <v>4</v>
      </c>
      <c r="F117" s="3">
        <v>10331.120000000001</v>
      </c>
      <c r="G117" s="3">
        <v>41324.480000000003</v>
      </c>
      <c r="H117" s="3">
        <v>31292.16</v>
      </c>
      <c r="I117" s="3">
        <v>10032.32</v>
      </c>
      <c r="J117" t="s">
        <v>29</v>
      </c>
      <c r="K117" t="s">
        <v>15</v>
      </c>
      <c r="L117">
        <f>tblRawBusinessData3[[#This Row],[Quantity]]*tblRawBusinessData3[[#This Row],[Unit_Price]]-tblRawBusinessData3[[#This Row],[Revenue]]</f>
        <v>0</v>
      </c>
      <c r="M117" s="3">
        <f t="shared" si="21"/>
        <v>0</v>
      </c>
      <c r="N117" s="3" t="str">
        <f t="shared" si="22"/>
        <v>Valid</v>
      </c>
      <c r="O117" s="3" t="str">
        <f t="shared" si="23"/>
        <v>Jul</v>
      </c>
      <c r="P117" s="3" t="str">
        <f t="shared" si="24"/>
        <v>Q3</v>
      </c>
      <c r="Q117">
        <f t="shared" si="25"/>
        <v>2025</v>
      </c>
      <c r="R117" s="4">
        <f t="shared" si="26"/>
        <v>0.24276941899813376</v>
      </c>
      <c r="S117" s="3" t="str">
        <f t="shared" si="27"/>
        <v>Large</v>
      </c>
    </row>
    <row r="118" spans="1:19" x14ac:dyDescent="0.25">
      <c r="A118" s="1">
        <v>45850</v>
      </c>
      <c r="B118" t="s">
        <v>41</v>
      </c>
      <c r="C118" t="s">
        <v>25</v>
      </c>
      <c r="D118" t="s">
        <v>31</v>
      </c>
      <c r="E118" s="2">
        <v>3</v>
      </c>
      <c r="F118" s="3">
        <v>16486.43</v>
      </c>
      <c r="G118" s="3">
        <v>49459.29</v>
      </c>
      <c r="H118" s="3">
        <v>27632.21</v>
      </c>
      <c r="I118" s="3">
        <v>21827.08</v>
      </c>
      <c r="J118" t="s">
        <v>32</v>
      </c>
      <c r="K118" t="s">
        <v>46</v>
      </c>
      <c r="L118">
        <f>tblRawBusinessData3[[#This Row],[Quantity]]*tblRawBusinessData3[[#This Row],[Unit_Price]]-tblRawBusinessData3[[#This Row],[Revenue]]</f>
        <v>0</v>
      </c>
      <c r="M118" s="3">
        <f t="shared" si="21"/>
        <v>0</v>
      </c>
      <c r="N118" s="3" t="str">
        <f t="shared" si="22"/>
        <v>Valid</v>
      </c>
      <c r="O118" s="3" t="str">
        <f t="shared" si="23"/>
        <v>Jul</v>
      </c>
      <c r="P118" s="3" t="str">
        <f t="shared" si="24"/>
        <v>Q3</v>
      </c>
      <c r="Q118">
        <f t="shared" si="25"/>
        <v>2025</v>
      </c>
      <c r="R118" s="4">
        <f t="shared" si="26"/>
        <v>0.44131405849133704</v>
      </c>
      <c r="S118" s="3" t="str">
        <f t="shared" si="27"/>
        <v>Large</v>
      </c>
    </row>
    <row r="119" spans="1:19" x14ac:dyDescent="0.25">
      <c r="A119" s="1">
        <v>45851</v>
      </c>
      <c r="B119" t="s">
        <v>51</v>
      </c>
      <c r="C119" t="s">
        <v>34</v>
      </c>
      <c r="D119" t="s">
        <v>35</v>
      </c>
      <c r="E119" s="2">
        <v>2</v>
      </c>
      <c r="F119" s="3">
        <v>1849.62</v>
      </c>
      <c r="G119" s="3">
        <v>3699.24</v>
      </c>
      <c r="H119" s="3">
        <v>2681.6</v>
      </c>
      <c r="I119" s="3">
        <v>1017.64</v>
      </c>
      <c r="J119" t="s">
        <v>18</v>
      </c>
      <c r="K119" t="s">
        <v>15</v>
      </c>
      <c r="L119">
        <f>tblRawBusinessData3[[#This Row],[Quantity]]*tblRawBusinessData3[[#This Row],[Unit_Price]]-tblRawBusinessData3[[#This Row],[Revenue]]</f>
        <v>0</v>
      </c>
      <c r="M119" s="3">
        <f t="shared" si="21"/>
        <v>0</v>
      </c>
      <c r="N119" s="3" t="str">
        <f t="shared" si="22"/>
        <v>Valid</v>
      </c>
      <c r="O119" s="3" t="str">
        <f t="shared" si="23"/>
        <v>Jul</v>
      </c>
      <c r="P119" s="3" t="str">
        <f t="shared" si="24"/>
        <v>Q3</v>
      </c>
      <c r="Q119">
        <f t="shared" si="25"/>
        <v>2025</v>
      </c>
      <c r="R119" s="4">
        <f t="shared" si="26"/>
        <v>0.27509434370303093</v>
      </c>
      <c r="S119" s="3" t="str">
        <f t="shared" si="27"/>
        <v>Small</v>
      </c>
    </row>
    <row r="120" spans="1:19" x14ac:dyDescent="0.25">
      <c r="A120" s="1">
        <v>45856</v>
      </c>
      <c r="B120" t="s">
        <v>41</v>
      </c>
      <c r="C120" t="s">
        <v>12</v>
      </c>
      <c r="D120" t="s">
        <v>13</v>
      </c>
      <c r="E120" s="2">
        <v>1</v>
      </c>
      <c r="F120" s="3">
        <v>13605.08</v>
      </c>
      <c r="G120" s="3">
        <v>13605.08</v>
      </c>
      <c r="H120" s="3">
        <v>8948.75</v>
      </c>
      <c r="I120" s="3">
        <v>4656.33</v>
      </c>
      <c r="J120" t="s">
        <v>29</v>
      </c>
      <c r="K120" t="s">
        <v>30</v>
      </c>
      <c r="L120">
        <f>tblRawBusinessData3[[#This Row],[Quantity]]*tblRawBusinessData3[[#This Row],[Unit_Price]]-tblRawBusinessData3[[#This Row],[Revenue]]</f>
        <v>0</v>
      </c>
      <c r="M120" s="3">
        <f t="shared" si="21"/>
        <v>0</v>
      </c>
      <c r="N120" s="3" t="str">
        <f t="shared" si="22"/>
        <v>Valid</v>
      </c>
      <c r="O120" s="3" t="str">
        <f t="shared" si="23"/>
        <v>Jul</v>
      </c>
      <c r="P120" s="3" t="str">
        <f t="shared" si="24"/>
        <v>Q3</v>
      </c>
      <c r="Q120">
        <f t="shared" si="25"/>
        <v>2025</v>
      </c>
      <c r="R120" s="4">
        <f t="shared" si="26"/>
        <v>0.34224936567811437</v>
      </c>
      <c r="S120" s="3" t="str">
        <f t="shared" si="27"/>
        <v>Medium</v>
      </c>
    </row>
    <row r="121" spans="1:19" x14ac:dyDescent="0.25">
      <c r="A121" s="1">
        <v>45857</v>
      </c>
      <c r="B121" t="s">
        <v>53</v>
      </c>
      <c r="C121" t="s">
        <v>12</v>
      </c>
      <c r="D121" t="s">
        <v>48</v>
      </c>
      <c r="E121" s="2">
        <v>2</v>
      </c>
      <c r="F121" s="3">
        <v>34817.300000000003</v>
      </c>
      <c r="G121" s="3">
        <v>69634.600000000006</v>
      </c>
      <c r="H121" s="3">
        <v>38517.79</v>
      </c>
      <c r="I121" s="3">
        <v>31116.81</v>
      </c>
      <c r="J121" t="s">
        <v>27</v>
      </c>
      <c r="K121" t="s">
        <v>23</v>
      </c>
      <c r="L121">
        <f>tblRawBusinessData3[[#This Row],[Quantity]]*tblRawBusinessData3[[#This Row],[Unit_Price]]-tblRawBusinessData3[[#This Row],[Revenue]]</f>
        <v>0</v>
      </c>
      <c r="M121" s="3">
        <f t="shared" si="21"/>
        <v>0</v>
      </c>
      <c r="N121" s="3" t="str">
        <f t="shared" si="22"/>
        <v>Valid</v>
      </c>
      <c r="O121" s="3" t="str">
        <f t="shared" si="23"/>
        <v>Jul</v>
      </c>
      <c r="P121" s="3" t="str">
        <f t="shared" si="24"/>
        <v>Q3</v>
      </c>
      <c r="Q121">
        <f t="shared" si="25"/>
        <v>2025</v>
      </c>
      <c r="R121" s="4">
        <f t="shared" si="26"/>
        <v>0.44685845829515786</v>
      </c>
      <c r="S121" s="3" t="str">
        <f t="shared" si="27"/>
        <v>Large</v>
      </c>
    </row>
    <row r="122" spans="1:19" x14ac:dyDescent="0.25">
      <c r="A122" s="1">
        <v>45858</v>
      </c>
      <c r="B122" t="s">
        <v>24</v>
      </c>
      <c r="C122" t="s">
        <v>21</v>
      </c>
      <c r="D122" t="s">
        <v>54</v>
      </c>
      <c r="E122" s="2">
        <v>4</v>
      </c>
      <c r="F122" s="3">
        <v>11697.08</v>
      </c>
      <c r="G122" s="3">
        <v>46788.32</v>
      </c>
      <c r="H122" s="3">
        <v>37900.78</v>
      </c>
      <c r="I122" s="3">
        <v>8887.5400000000009</v>
      </c>
      <c r="J122" t="s">
        <v>18</v>
      </c>
      <c r="K122" t="s">
        <v>23</v>
      </c>
      <c r="L122">
        <f>tblRawBusinessData3[[#This Row],[Quantity]]*tblRawBusinessData3[[#This Row],[Unit_Price]]-tblRawBusinessData3[[#This Row],[Revenue]]</f>
        <v>0</v>
      </c>
      <c r="M122" s="3">
        <f t="shared" si="21"/>
        <v>0</v>
      </c>
      <c r="N122" s="3" t="str">
        <f t="shared" si="22"/>
        <v>Valid</v>
      </c>
      <c r="O122" s="3" t="str">
        <f t="shared" si="23"/>
        <v>Jul</v>
      </c>
      <c r="P122" s="3" t="str">
        <f t="shared" si="24"/>
        <v>Q3</v>
      </c>
      <c r="Q122">
        <f t="shared" si="25"/>
        <v>2025</v>
      </c>
      <c r="R122" s="4">
        <f t="shared" si="26"/>
        <v>0.18995210770551285</v>
      </c>
      <c r="S122" s="3" t="str">
        <f t="shared" si="27"/>
        <v>Large</v>
      </c>
    </row>
    <row r="123" spans="1:19" x14ac:dyDescent="0.25">
      <c r="A123" s="1">
        <v>45862</v>
      </c>
      <c r="B123" t="s">
        <v>11</v>
      </c>
      <c r="C123" t="s">
        <v>25</v>
      </c>
      <c r="D123" t="s">
        <v>28</v>
      </c>
      <c r="E123" s="2">
        <v>3</v>
      </c>
      <c r="F123" s="3">
        <v>40830.97</v>
      </c>
      <c r="G123" s="3">
        <v>122492.91</v>
      </c>
      <c r="H123" s="3">
        <v>75251.350000000006</v>
      </c>
      <c r="I123" s="3">
        <v>47241.56</v>
      </c>
      <c r="J123" t="s">
        <v>14</v>
      </c>
      <c r="K123" t="s">
        <v>30</v>
      </c>
      <c r="L123">
        <f>tblRawBusinessData3[[#This Row],[Quantity]]*tblRawBusinessData3[[#This Row],[Unit_Price]]-tblRawBusinessData3[[#This Row],[Revenue]]</f>
        <v>0</v>
      </c>
      <c r="M123" s="3">
        <f t="shared" si="21"/>
        <v>0</v>
      </c>
      <c r="N123" s="3" t="str">
        <f t="shared" si="22"/>
        <v>Valid</v>
      </c>
      <c r="O123" s="3" t="str">
        <f t="shared" si="23"/>
        <v>Jul</v>
      </c>
      <c r="P123" s="3" t="str">
        <f t="shared" si="24"/>
        <v>Q3</v>
      </c>
      <c r="Q123">
        <f t="shared" si="25"/>
        <v>2025</v>
      </c>
      <c r="R123" s="4">
        <f t="shared" si="26"/>
        <v>0.3856677092576215</v>
      </c>
      <c r="S123" s="3" t="str">
        <f t="shared" si="27"/>
        <v>Large</v>
      </c>
    </row>
    <row r="124" spans="1:19" x14ac:dyDescent="0.25">
      <c r="A124" s="1">
        <v>45862</v>
      </c>
      <c r="B124" t="s">
        <v>42</v>
      </c>
      <c r="C124" t="s">
        <v>12</v>
      </c>
      <c r="D124" t="s">
        <v>48</v>
      </c>
      <c r="E124" s="2">
        <v>3</v>
      </c>
      <c r="F124" s="3">
        <v>14485.05</v>
      </c>
      <c r="G124" s="3">
        <v>43455.15</v>
      </c>
      <c r="H124" s="3">
        <v>28365.8</v>
      </c>
      <c r="I124" s="3">
        <v>15089.35</v>
      </c>
      <c r="J124" t="s">
        <v>29</v>
      </c>
      <c r="K124" t="s">
        <v>30</v>
      </c>
      <c r="L124">
        <f>tblRawBusinessData3[[#This Row],[Quantity]]*tblRawBusinessData3[[#This Row],[Unit_Price]]-tblRawBusinessData3[[#This Row],[Revenue]]</f>
        <v>0</v>
      </c>
      <c r="M124" s="3">
        <f t="shared" si="21"/>
        <v>0</v>
      </c>
      <c r="N124" s="3" t="str">
        <f t="shared" si="22"/>
        <v>Valid</v>
      </c>
      <c r="O124" s="3" t="str">
        <f t="shared" si="23"/>
        <v>Jul</v>
      </c>
      <c r="P124" s="3" t="str">
        <f t="shared" si="24"/>
        <v>Q3</v>
      </c>
      <c r="Q124">
        <f t="shared" si="25"/>
        <v>2025</v>
      </c>
      <c r="R124" s="4">
        <f t="shared" si="26"/>
        <v>0.34723962522278717</v>
      </c>
      <c r="S124" s="3" t="str">
        <f t="shared" si="27"/>
        <v>Large</v>
      </c>
    </row>
    <row r="125" spans="1:19" x14ac:dyDescent="0.25">
      <c r="A125" s="1">
        <v>45863</v>
      </c>
      <c r="B125" t="s">
        <v>36</v>
      </c>
      <c r="C125" t="s">
        <v>25</v>
      </c>
      <c r="D125" t="s">
        <v>26</v>
      </c>
      <c r="E125" s="2">
        <v>1</v>
      </c>
      <c r="F125" s="3">
        <v>27222.06</v>
      </c>
      <c r="G125" s="3">
        <v>27222.06</v>
      </c>
      <c r="H125" s="3">
        <v>14116.47</v>
      </c>
      <c r="I125" s="3">
        <v>13105.59</v>
      </c>
      <c r="J125" t="s">
        <v>18</v>
      </c>
      <c r="K125" t="s">
        <v>30</v>
      </c>
      <c r="L125">
        <f>tblRawBusinessData3[[#This Row],[Quantity]]*tblRawBusinessData3[[#This Row],[Unit_Price]]-tblRawBusinessData3[[#This Row],[Revenue]]</f>
        <v>0</v>
      </c>
      <c r="M125" s="3">
        <f t="shared" si="21"/>
        <v>0</v>
      </c>
      <c r="N125" s="3" t="str">
        <f t="shared" si="22"/>
        <v>Valid</v>
      </c>
      <c r="O125" s="3" t="str">
        <f t="shared" si="23"/>
        <v>Jul</v>
      </c>
      <c r="P125" s="3" t="str">
        <f t="shared" si="24"/>
        <v>Q3</v>
      </c>
      <c r="Q125">
        <f t="shared" si="25"/>
        <v>2025</v>
      </c>
      <c r="R125" s="4">
        <f t="shared" si="26"/>
        <v>0.48143270568061342</v>
      </c>
      <c r="S125" s="3" t="str">
        <f t="shared" si="27"/>
        <v>Medium</v>
      </c>
    </row>
    <row r="126" spans="1:19" x14ac:dyDescent="0.25">
      <c r="A126" s="1">
        <v>45865</v>
      </c>
      <c r="B126" t="s">
        <v>55</v>
      </c>
      <c r="C126" t="s">
        <v>12</v>
      </c>
      <c r="D126" t="s">
        <v>13</v>
      </c>
      <c r="E126" s="2">
        <v>2</v>
      </c>
      <c r="F126" s="3">
        <v>5430.24</v>
      </c>
      <c r="G126" s="3">
        <v>10860.48</v>
      </c>
      <c r="H126" s="3">
        <v>6612.89</v>
      </c>
      <c r="I126" s="3">
        <v>4247.59</v>
      </c>
      <c r="J126" t="s">
        <v>14</v>
      </c>
      <c r="K126" t="s">
        <v>15</v>
      </c>
      <c r="L126">
        <f>tblRawBusinessData3[[#This Row],[Quantity]]*tblRawBusinessData3[[#This Row],[Unit_Price]]-tblRawBusinessData3[[#This Row],[Revenue]]</f>
        <v>0</v>
      </c>
      <c r="M126" s="3">
        <f t="shared" si="21"/>
        <v>0</v>
      </c>
      <c r="N126" s="3" t="str">
        <f t="shared" si="22"/>
        <v>Valid</v>
      </c>
      <c r="O126" s="3" t="str">
        <f t="shared" si="23"/>
        <v>Jul</v>
      </c>
      <c r="P126" s="3" t="str">
        <f t="shared" si="24"/>
        <v>Q3</v>
      </c>
      <c r="Q126">
        <f t="shared" si="25"/>
        <v>2025</v>
      </c>
      <c r="R126" s="4">
        <f t="shared" si="26"/>
        <v>0.39110518135478362</v>
      </c>
      <c r="S126" s="3" t="str">
        <f t="shared" si="27"/>
        <v>Medium</v>
      </c>
    </row>
    <row r="127" spans="1:19" x14ac:dyDescent="0.25">
      <c r="A127" s="1">
        <v>45866</v>
      </c>
      <c r="B127" t="s">
        <v>39</v>
      </c>
      <c r="C127" t="s">
        <v>25</v>
      </c>
      <c r="D127" t="s">
        <v>31</v>
      </c>
      <c r="E127" s="2">
        <v>4</v>
      </c>
      <c r="F127" s="3">
        <v>24412.42</v>
      </c>
      <c r="G127" s="3">
        <v>97649.68</v>
      </c>
      <c r="H127" s="3">
        <v>43984.45</v>
      </c>
      <c r="I127" s="3">
        <v>53665.23</v>
      </c>
      <c r="J127" t="s">
        <v>32</v>
      </c>
      <c r="K127" t="s">
        <v>19</v>
      </c>
      <c r="L127">
        <f>tblRawBusinessData3[[#This Row],[Quantity]]*tblRawBusinessData3[[#This Row],[Unit_Price]]-tblRawBusinessData3[[#This Row],[Revenue]]</f>
        <v>0</v>
      </c>
      <c r="M127" s="3">
        <f t="shared" si="21"/>
        <v>0</v>
      </c>
      <c r="N127" s="3" t="str">
        <f t="shared" si="22"/>
        <v>Valid</v>
      </c>
      <c r="O127" s="3" t="str">
        <f t="shared" si="23"/>
        <v>Jul</v>
      </c>
      <c r="P127" s="3" t="str">
        <f t="shared" si="24"/>
        <v>Q3</v>
      </c>
      <c r="Q127">
        <f t="shared" si="25"/>
        <v>2025</v>
      </c>
      <c r="R127" s="4">
        <f t="shared" si="26"/>
        <v>0.54956892843888483</v>
      </c>
      <c r="S127" s="3" t="str">
        <f t="shared" si="27"/>
        <v>Large</v>
      </c>
    </row>
    <row r="128" spans="1:19" x14ac:dyDescent="0.25">
      <c r="A128" s="1">
        <v>45868</v>
      </c>
      <c r="B128" t="s">
        <v>11</v>
      </c>
      <c r="C128" t="s">
        <v>12</v>
      </c>
      <c r="D128" t="s">
        <v>17</v>
      </c>
      <c r="E128" s="2">
        <v>4</v>
      </c>
      <c r="F128" s="3">
        <v>6834.71</v>
      </c>
      <c r="G128" s="3">
        <v>27338.84</v>
      </c>
      <c r="H128" s="3">
        <v>14082.52</v>
      </c>
      <c r="I128" s="3">
        <v>13256.32</v>
      </c>
      <c r="J128" t="s">
        <v>32</v>
      </c>
      <c r="K128" t="s">
        <v>19</v>
      </c>
      <c r="L128">
        <f>tblRawBusinessData3[[#This Row],[Quantity]]*tblRawBusinessData3[[#This Row],[Unit_Price]]-tblRawBusinessData3[[#This Row],[Revenue]]</f>
        <v>0</v>
      </c>
      <c r="M128" s="3">
        <f t="shared" si="21"/>
        <v>0</v>
      </c>
      <c r="N128" s="3" t="str">
        <f t="shared" si="22"/>
        <v>Valid</v>
      </c>
      <c r="O128" s="3" t="str">
        <f t="shared" si="23"/>
        <v>Jul</v>
      </c>
      <c r="P128" s="3" t="str">
        <f t="shared" si="24"/>
        <v>Q3</v>
      </c>
      <c r="Q128">
        <f t="shared" si="25"/>
        <v>2025</v>
      </c>
      <c r="R128" s="4">
        <f t="shared" si="26"/>
        <v>0.48488962955268033</v>
      </c>
      <c r="S128" s="3" t="str">
        <f t="shared" si="27"/>
        <v>Medium</v>
      </c>
    </row>
    <row r="129" spans="1:19" x14ac:dyDescent="0.25">
      <c r="A129" s="1">
        <v>45869</v>
      </c>
      <c r="B129" t="s">
        <v>20</v>
      </c>
      <c r="C129" t="s">
        <v>25</v>
      </c>
      <c r="D129" t="s">
        <v>26</v>
      </c>
      <c r="E129" s="2">
        <v>1</v>
      </c>
      <c r="F129" s="3">
        <v>15580.13</v>
      </c>
      <c r="G129" s="3">
        <v>15580.13</v>
      </c>
      <c r="H129" s="3">
        <v>9142.02</v>
      </c>
      <c r="I129" s="3">
        <v>6438.11</v>
      </c>
      <c r="J129" t="s">
        <v>27</v>
      </c>
      <c r="K129" t="s">
        <v>23</v>
      </c>
      <c r="L129">
        <f>tblRawBusinessData3[[#This Row],[Quantity]]*tblRawBusinessData3[[#This Row],[Unit_Price]]-tblRawBusinessData3[[#This Row],[Revenue]]</f>
        <v>0</v>
      </c>
      <c r="M129" s="3">
        <f t="shared" si="21"/>
        <v>0</v>
      </c>
      <c r="N129" s="3" t="str">
        <f t="shared" si="22"/>
        <v>Valid</v>
      </c>
      <c r="O129" s="3" t="str">
        <f t="shared" si="23"/>
        <v>Jul</v>
      </c>
      <c r="P129" s="3" t="str">
        <f t="shared" si="24"/>
        <v>Q3</v>
      </c>
      <c r="Q129">
        <f t="shared" si="25"/>
        <v>2025</v>
      </c>
      <c r="R129" s="4">
        <f t="shared" si="26"/>
        <v>0.41322569195507353</v>
      </c>
      <c r="S129" s="3" t="str">
        <f t="shared" si="27"/>
        <v>Medium</v>
      </c>
    </row>
    <row r="130" spans="1:19" x14ac:dyDescent="0.25">
      <c r="A130" s="1">
        <v>45869</v>
      </c>
      <c r="B130" t="s">
        <v>20</v>
      </c>
      <c r="C130" t="s">
        <v>37</v>
      </c>
      <c r="D130" t="s">
        <v>38</v>
      </c>
      <c r="E130" s="2">
        <v>1</v>
      </c>
      <c r="F130" s="3">
        <v>9545.19</v>
      </c>
      <c r="G130" s="3">
        <v>9545.19</v>
      </c>
      <c r="H130" s="3">
        <v>4598.3999999999996</v>
      </c>
      <c r="I130" s="3">
        <v>4946.79</v>
      </c>
      <c r="J130" t="s">
        <v>29</v>
      </c>
      <c r="K130" t="s">
        <v>46</v>
      </c>
      <c r="L130">
        <f>tblRawBusinessData3[[#This Row],[Quantity]]*tblRawBusinessData3[[#This Row],[Unit_Price]]-tblRawBusinessData3[[#This Row],[Revenue]]</f>
        <v>0</v>
      </c>
      <c r="M130" s="3">
        <f t="shared" ref="M130:M161" si="28">G130-H130-I130</f>
        <v>0</v>
      </c>
      <c r="N130" s="3" t="str">
        <f t="shared" ref="N130:N161" si="29">IF(H130&lt;G130,"Valid","Check")</f>
        <v>Valid</v>
      </c>
      <c r="O130" s="3" t="str">
        <f t="shared" ref="O130:O161" si="30">TEXT(A130,"mmm")</f>
        <v>Jul</v>
      </c>
      <c r="P130" s="3" t="str">
        <f t="shared" ref="P130:P161" si="31">"Q"&amp;ROUNDUP(MONTH(A130)/3,0)</f>
        <v>Q3</v>
      </c>
      <c r="Q130">
        <f t="shared" ref="Q130:Q161" si="32">YEAR(A130)</f>
        <v>2025</v>
      </c>
      <c r="R130" s="4">
        <f t="shared" ref="R130:R161" si="33">I130/G130</f>
        <v>0.51824950577201712</v>
      </c>
      <c r="S130" s="3" t="str">
        <f t="shared" ref="S130:S161" si="34">IF(G130&lt;10000,"Small",IF(G130&lt;30000,"Medium","Large"))</f>
        <v>Small</v>
      </c>
    </row>
    <row r="131" spans="1:19" x14ac:dyDescent="0.25">
      <c r="A131" s="1">
        <v>45870</v>
      </c>
      <c r="B131" t="s">
        <v>20</v>
      </c>
      <c r="C131" t="s">
        <v>37</v>
      </c>
      <c r="D131" t="s">
        <v>38</v>
      </c>
      <c r="E131" s="2">
        <v>2</v>
      </c>
      <c r="F131" s="3">
        <v>9466.9</v>
      </c>
      <c r="G131" s="3">
        <v>18933.8</v>
      </c>
      <c r="H131" s="3">
        <v>6783.12</v>
      </c>
      <c r="I131" s="3">
        <v>12150.68</v>
      </c>
      <c r="J131" t="s">
        <v>14</v>
      </c>
      <c r="K131" t="s">
        <v>46</v>
      </c>
      <c r="L131">
        <f>tblRawBusinessData3[[#This Row],[Quantity]]*tblRawBusinessData3[[#This Row],[Unit_Price]]-tblRawBusinessData3[[#This Row],[Revenue]]</f>
        <v>0</v>
      </c>
      <c r="M131" s="3">
        <f t="shared" si="28"/>
        <v>0</v>
      </c>
      <c r="N131" s="3" t="str">
        <f t="shared" si="29"/>
        <v>Valid</v>
      </c>
      <c r="O131" s="3" t="str">
        <f t="shared" si="30"/>
        <v>Aug</v>
      </c>
      <c r="P131" s="3" t="str">
        <f t="shared" si="31"/>
        <v>Q3</v>
      </c>
      <c r="Q131">
        <f t="shared" si="32"/>
        <v>2025</v>
      </c>
      <c r="R131" s="4">
        <f t="shared" si="33"/>
        <v>0.64174544993609317</v>
      </c>
      <c r="S131" s="3" t="str">
        <f t="shared" si="34"/>
        <v>Medium</v>
      </c>
    </row>
    <row r="132" spans="1:19" x14ac:dyDescent="0.25">
      <c r="A132" s="1">
        <v>45873</v>
      </c>
      <c r="B132" t="s">
        <v>33</v>
      </c>
      <c r="C132" t="s">
        <v>34</v>
      </c>
      <c r="D132" t="s">
        <v>49</v>
      </c>
      <c r="E132" s="2">
        <v>10</v>
      </c>
      <c r="F132" s="3">
        <v>2365.27</v>
      </c>
      <c r="G132" s="3">
        <v>23652.7</v>
      </c>
      <c r="H132" s="3">
        <v>18343.91</v>
      </c>
      <c r="I132" s="3">
        <v>5308.79</v>
      </c>
      <c r="J132" t="s">
        <v>32</v>
      </c>
      <c r="K132" t="s">
        <v>46</v>
      </c>
      <c r="L132">
        <f>tblRawBusinessData3[[#This Row],[Quantity]]*tblRawBusinessData3[[#This Row],[Unit_Price]]-tblRawBusinessData3[[#This Row],[Revenue]]</f>
        <v>0</v>
      </c>
      <c r="M132" s="3">
        <f t="shared" si="28"/>
        <v>0</v>
      </c>
      <c r="N132" s="3" t="str">
        <f t="shared" si="29"/>
        <v>Valid</v>
      </c>
      <c r="O132" s="3" t="str">
        <f t="shared" si="30"/>
        <v>Aug</v>
      </c>
      <c r="P132" s="3" t="str">
        <f t="shared" si="31"/>
        <v>Q3</v>
      </c>
      <c r="Q132">
        <f t="shared" si="32"/>
        <v>2025</v>
      </c>
      <c r="R132" s="4">
        <f t="shared" si="33"/>
        <v>0.22444752607524721</v>
      </c>
      <c r="S132" s="3" t="str">
        <f t="shared" si="34"/>
        <v>Medium</v>
      </c>
    </row>
    <row r="133" spans="1:19" x14ac:dyDescent="0.25">
      <c r="A133" s="1">
        <v>45873</v>
      </c>
      <c r="B133" t="s">
        <v>33</v>
      </c>
      <c r="C133" t="s">
        <v>25</v>
      </c>
      <c r="D133" t="s">
        <v>31</v>
      </c>
      <c r="E133" s="2">
        <v>2</v>
      </c>
      <c r="F133" s="3">
        <v>6861.59</v>
      </c>
      <c r="G133" s="3">
        <v>13723.18</v>
      </c>
      <c r="H133" s="3">
        <v>6277.56</v>
      </c>
      <c r="I133" s="3">
        <v>7445.62</v>
      </c>
      <c r="J133" t="s">
        <v>27</v>
      </c>
      <c r="K133" t="s">
        <v>15</v>
      </c>
      <c r="L133">
        <f>tblRawBusinessData3[[#This Row],[Quantity]]*tblRawBusinessData3[[#This Row],[Unit_Price]]-tblRawBusinessData3[[#This Row],[Revenue]]</f>
        <v>0</v>
      </c>
      <c r="M133" s="3">
        <f t="shared" si="28"/>
        <v>0</v>
      </c>
      <c r="N133" s="3" t="str">
        <f t="shared" si="29"/>
        <v>Valid</v>
      </c>
      <c r="O133" s="3" t="str">
        <f t="shared" si="30"/>
        <v>Aug</v>
      </c>
      <c r="P133" s="3" t="str">
        <f t="shared" si="31"/>
        <v>Q3</v>
      </c>
      <c r="Q133">
        <f t="shared" si="32"/>
        <v>2025</v>
      </c>
      <c r="R133" s="4">
        <f t="shared" si="33"/>
        <v>0.54255792024880534</v>
      </c>
      <c r="S133" s="3" t="str">
        <f t="shared" si="34"/>
        <v>Medium</v>
      </c>
    </row>
    <row r="134" spans="1:19" x14ac:dyDescent="0.25">
      <c r="A134" s="1">
        <v>45874</v>
      </c>
      <c r="B134" t="s">
        <v>44</v>
      </c>
      <c r="C134" t="s">
        <v>37</v>
      </c>
      <c r="D134" t="s">
        <v>45</v>
      </c>
      <c r="E134" s="2">
        <v>1</v>
      </c>
      <c r="F134" s="3">
        <v>14726.84</v>
      </c>
      <c r="G134" s="3">
        <v>14726.84</v>
      </c>
      <c r="H134" s="3">
        <v>6117.77</v>
      </c>
      <c r="I134" s="3">
        <v>8609.07</v>
      </c>
      <c r="J134" t="s">
        <v>27</v>
      </c>
      <c r="K134" t="s">
        <v>23</v>
      </c>
      <c r="L134">
        <f>tblRawBusinessData3[[#This Row],[Quantity]]*tblRawBusinessData3[[#This Row],[Unit_Price]]-tblRawBusinessData3[[#This Row],[Revenue]]</f>
        <v>0</v>
      </c>
      <c r="M134" s="3">
        <f t="shared" si="28"/>
        <v>0</v>
      </c>
      <c r="N134" s="3" t="str">
        <f t="shared" si="29"/>
        <v>Valid</v>
      </c>
      <c r="O134" s="3" t="str">
        <f t="shared" si="30"/>
        <v>Aug</v>
      </c>
      <c r="P134" s="3" t="str">
        <f t="shared" si="31"/>
        <v>Q3</v>
      </c>
      <c r="Q134">
        <f t="shared" si="32"/>
        <v>2025</v>
      </c>
      <c r="R134" s="4">
        <f t="shared" si="33"/>
        <v>0.58458365813711566</v>
      </c>
      <c r="S134" s="3" t="str">
        <f t="shared" si="34"/>
        <v>Medium</v>
      </c>
    </row>
    <row r="135" spans="1:19" x14ac:dyDescent="0.25">
      <c r="A135" s="1">
        <v>45882</v>
      </c>
      <c r="B135" t="s">
        <v>50</v>
      </c>
      <c r="C135" t="s">
        <v>25</v>
      </c>
      <c r="D135" t="s">
        <v>26</v>
      </c>
      <c r="E135" s="2">
        <v>2</v>
      </c>
      <c r="F135" s="3">
        <v>10574</v>
      </c>
      <c r="G135" s="3">
        <v>21148</v>
      </c>
      <c r="H135" s="3">
        <v>13942.51</v>
      </c>
      <c r="I135" s="3">
        <v>7205.49</v>
      </c>
      <c r="J135" t="s">
        <v>14</v>
      </c>
      <c r="K135" t="s">
        <v>23</v>
      </c>
      <c r="L135">
        <f>tblRawBusinessData3[[#This Row],[Quantity]]*tblRawBusinessData3[[#This Row],[Unit_Price]]-tblRawBusinessData3[[#This Row],[Revenue]]</f>
        <v>0</v>
      </c>
      <c r="M135" s="3">
        <f t="shared" si="28"/>
        <v>0</v>
      </c>
      <c r="N135" s="3" t="str">
        <f t="shared" si="29"/>
        <v>Valid</v>
      </c>
      <c r="O135" s="3" t="str">
        <f t="shared" si="30"/>
        <v>Aug</v>
      </c>
      <c r="P135" s="3" t="str">
        <f t="shared" si="31"/>
        <v>Q3</v>
      </c>
      <c r="Q135">
        <f t="shared" si="32"/>
        <v>2025</v>
      </c>
      <c r="R135" s="4">
        <f t="shared" si="33"/>
        <v>0.34071732551541517</v>
      </c>
      <c r="S135" s="3" t="str">
        <f t="shared" si="34"/>
        <v>Medium</v>
      </c>
    </row>
    <row r="136" spans="1:19" x14ac:dyDescent="0.25">
      <c r="A136" s="1">
        <v>45883</v>
      </c>
      <c r="B136" t="s">
        <v>55</v>
      </c>
      <c r="C136" t="s">
        <v>37</v>
      </c>
      <c r="D136" t="s">
        <v>47</v>
      </c>
      <c r="E136" s="2">
        <v>1</v>
      </c>
      <c r="F136" s="3">
        <v>7780.45</v>
      </c>
      <c r="G136" s="3">
        <v>7780.45</v>
      </c>
      <c r="H136" s="3">
        <v>3474.47</v>
      </c>
      <c r="I136" s="3">
        <v>4305.9799999999996</v>
      </c>
      <c r="J136" t="s">
        <v>18</v>
      </c>
      <c r="K136" t="s">
        <v>15</v>
      </c>
      <c r="L136">
        <f>tblRawBusinessData3[[#This Row],[Quantity]]*tblRawBusinessData3[[#This Row],[Unit_Price]]-tblRawBusinessData3[[#This Row],[Revenue]]</f>
        <v>0</v>
      </c>
      <c r="M136" s="3">
        <f t="shared" si="28"/>
        <v>0</v>
      </c>
      <c r="N136" s="3" t="str">
        <f t="shared" si="29"/>
        <v>Valid</v>
      </c>
      <c r="O136" s="3" t="str">
        <f t="shared" si="30"/>
        <v>Aug</v>
      </c>
      <c r="P136" s="3" t="str">
        <f t="shared" si="31"/>
        <v>Q3</v>
      </c>
      <c r="Q136">
        <f t="shared" si="32"/>
        <v>2025</v>
      </c>
      <c r="R136" s="4">
        <f t="shared" si="33"/>
        <v>0.5534358552525882</v>
      </c>
      <c r="S136" s="3" t="str">
        <f t="shared" si="34"/>
        <v>Small</v>
      </c>
    </row>
    <row r="137" spans="1:19" x14ac:dyDescent="0.25">
      <c r="A137" s="1">
        <v>45883</v>
      </c>
      <c r="B137" t="s">
        <v>42</v>
      </c>
      <c r="C137" t="s">
        <v>12</v>
      </c>
      <c r="D137" t="s">
        <v>48</v>
      </c>
      <c r="E137" s="2">
        <v>2</v>
      </c>
      <c r="F137" s="3">
        <v>17033.59</v>
      </c>
      <c r="G137" s="3">
        <v>34067.18</v>
      </c>
      <c r="H137" s="3">
        <v>19150.22</v>
      </c>
      <c r="I137" s="3">
        <v>14916.96</v>
      </c>
      <c r="J137" t="s">
        <v>14</v>
      </c>
      <c r="K137" t="s">
        <v>23</v>
      </c>
      <c r="L137">
        <f>tblRawBusinessData3[[#This Row],[Quantity]]*tblRawBusinessData3[[#This Row],[Unit_Price]]-tblRawBusinessData3[[#This Row],[Revenue]]</f>
        <v>0</v>
      </c>
      <c r="M137" s="3">
        <f t="shared" si="28"/>
        <v>0</v>
      </c>
      <c r="N137" s="3" t="str">
        <f t="shared" si="29"/>
        <v>Valid</v>
      </c>
      <c r="O137" s="3" t="str">
        <f t="shared" si="30"/>
        <v>Aug</v>
      </c>
      <c r="P137" s="3" t="str">
        <f t="shared" si="31"/>
        <v>Q3</v>
      </c>
      <c r="Q137">
        <f t="shared" si="32"/>
        <v>2025</v>
      </c>
      <c r="R137" s="4">
        <f t="shared" si="33"/>
        <v>0.43786894013534433</v>
      </c>
      <c r="S137" s="3" t="str">
        <f t="shared" si="34"/>
        <v>Large</v>
      </c>
    </row>
    <row r="138" spans="1:19" x14ac:dyDescent="0.25">
      <c r="A138" s="1">
        <v>45884</v>
      </c>
      <c r="B138" t="s">
        <v>43</v>
      </c>
      <c r="C138" t="s">
        <v>21</v>
      </c>
      <c r="D138" t="s">
        <v>40</v>
      </c>
      <c r="E138" s="2">
        <v>1</v>
      </c>
      <c r="F138" s="3">
        <v>29502.51</v>
      </c>
      <c r="G138" s="3">
        <v>29502.51</v>
      </c>
      <c r="H138" s="3">
        <v>20244.419999999998</v>
      </c>
      <c r="I138" s="3">
        <v>9258.09</v>
      </c>
      <c r="J138" t="s">
        <v>32</v>
      </c>
      <c r="K138" t="s">
        <v>30</v>
      </c>
      <c r="L138">
        <f>tblRawBusinessData3[[#This Row],[Quantity]]*tblRawBusinessData3[[#This Row],[Unit_Price]]-tblRawBusinessData3[[#This Row],[Revenue]]</f>
        <v>0</v>
      </c>
      <c r="M138" s="3">
        <f t="shared" si="28"/>
        <v>0</v>
      </c>
      <c r="N138" s="3" t="str">
        <f t="shared" si="29"/>
        <v>Valid</v>
      </c>
      <c r="O138" s="3" t="str">
        <f t="shared" si="30"/>
        <v>Aug</v>
      </c>
      <c r="P138" s="3" t="str">
        <f t="shared" si="31"/>
        <v>Q3</v>
      </c>
      <c r="Q138">
        <f t="shared" si="32"/>
        <v>2025</v>
      </c>
      <c r="R138" s="4">
        <f t="shared" si="33"/>
        <v>0.31380685914520495</v>
      </c>
      <c r="S138" s="3" t="str">
        <f t="shared" si="34"/>
        <v>Medium</v>
      </c>
    </row>
    <row r="139" spans="1:19" x14ac:dyDescent="0.25">
      <c r="A139" s="1">
        <v>45889</v>
      </c>
      <c r="B139" t="s">
        <v>41</v>
      </c>
      <c r="C139" t="s">
        <v>12</v>
      </c>
      <c r="D139" t="s">
        <v>17</v>
      </c>
      <c r="E139" s="2">
        <v>2</v>
      </c>
      <c r="F139" s="3">
        <v>7154.16</v>
      </c>
      <c r="G139" s="3">
        <v>14308.32</v>
      </c>
      <c r="H139" s="3">
        <v>8133.82</v>
      </c>
      <c r="I139" s="3">
        <v>6174.5</v>
      </c>
      <c r="J139" t="s">
        <v>27</v>
      </c>
      <c r="K139" t="s">
        <v>46</v>
      </c>
      <c r="L139">
        <f>tblRawBusinessData3[[#This Row],[Quantity]]*tblRawBusinessData3[[#This Row],[Unit_Price]]-tblRawBusinessData3[[#This Row],[Revenue]]</f>
        <v>0</v>
      </c>
      <c r="M139" s="3">
        <f t="shared" si="28"/>
        <v>0</v>
      </c>
      <c r="N139" s="3" t="str">
        <f t="shared" si="29"/>
        <v>Valid</v>
      </c>
      <c r="O139" s="3" t="str">
        <f t="shared" si="30"/>
        <v>Aug</v>
      </c>
      <c r="P139" s="3" t="str">
        <f t="shared" si="31"/>
        <v>Q3</v>
      </c>
      <c r="Q139">
        <f t="shared" si="32"/>
        <v>2025</v>
      </c>
      <c r="R139" s="4">
        <f t="shared" si="33"/>
        <v>0.43153214353606856</v>
      </c>
      <c r="S139" s="3" t="str">
        <f t="shared" si="34"/>
        <v>Medium</v>
      </c>
    </row>
    <row r="140" spans="1:19" x14ac:dyDescent="0.25">
      <c r="A140" s="1">
        <v>45890</v>
      </c>
      <c r="B140" t="s">
        <v>50</v>
      </c>
      <c r="C140" t="s">
        <v>21</v>
      </c>
      <c r="D140" t="s">
        <v>40</v>
      </c>
      <c r="E140" s="2">
        <v>4</v>
      </c>
      <c r="F140" s="3">
        <v>56868.52</v>
      </c>
      <c r="G140" s="3">
        <v>227474.08</v>
      </c>
      <c r="H140" s="3">
        <v>171092.19</v>
      </c>
      <c r="I140" s="3">
        <v>56381.89</v>
      </c>
      <c r="J140" t="s">
        <v>14</v>
      </c>
      <c r="K140" t="s">
        <v>23</v>
      </c>
      <c r="L140">
        <f>tblRawBusinessData3[[#This Row],[Quantity]]*tblRawBusinessData3[[#This Row],[Unit_Price]]-tblRawBusinessData3[[#This Row],[Revenue]]</f>
        <v>0</v>
      </c>
      <c r="M140" s="3">
        <f t="shared" si="28"/>
        <v>0</v>
      </c>
      <c r="N140" s="3" t="str">
        <f t="shared" si="29"/>
        <v>Valid</v>
      </c>
      <c r="O140" s="3" t="str">
        <f t="shared" si="30"/>
        <v>Aug</v>
      </c>
      <c r="P140" s="3" t="str">
        <f t="shared" si="31"/>
        <v>Q3</v>
      </c>
      <c r="Q140">
        <f t="shared" si="32"/>
        <v>2025</v>
      </c>
      <c r="R140" s="4">
        <f t="shared" si="33"/>
        <v>0.24786072329647404</v>
      </c>
      <c r="S140" s="3" t="str">
        <f t="shared" si="34"/>
        <v>Large</v>
      </c>
    </row>
    <row r="141" spans="1:19" x14ac:dyDescent="0.25">
      <c r="A141" s="1">
        <v>45893</v>
      </c>
      <c r="B141" t="s">
        <v>11</v>
      </c>
      <c r="C141" t="s">
        <v>25</v>
      </c>
      <c r="D141" t="s">
        <v>28</v>
      </c>
      <c r="E141" s="2">
        <v>3</v>
      </c>
      <c r="F141" s="3">
        <v>27042.85</v>
      </c>
      <c r="G141" s="3">
        <v>81128.55</v>
      </c>
      <c r="H141" s="3">
        <v>37176.25</v>
      </c>
      <c r="I141" s="3">
        <v>43952.3</v>
      </c>
      <c r="J141" t="s">
        <v>27</v>
      </c>
      <c r="K141" t="s">
        <v>15</v>
      </c>
      <c r="L141">
        <f>tblRawBusinessData3[[#This Row],[Quantity]]*tblRawBusinessData3[[#This Row],[Unit_Price]]-tblRawBusinessData3[[#This Row],[Revenue]]</f>
        <v>0</v>
      </c>
      <c r="M141" s="3">
        <f t="shared" si="28"/>
        <v>0</v>
      </c>
      <c r="N141" s="3" t="str">
        <f t="shared" si="29"/>
        <v>Valid</v>
      </c>
      <c r="O141" s="3" t="str">
        <f t="shared" si="30"/>
        <v>Aug</v>
      </c>
      <c r="P141" s="3" t="str">
        <f t="shared" si="31"/>
        <v>Q3</v>
      </c>
      <c r="Q141">
        <f t="shared" si="32"/>
        <v>2025</v>
      </c>
      <c r="R141" s="4">
        <f t="shared" si="33"/>
        <v>0.54176119257647282</v>
      </c>
      <c r="S141" s="3" t="str">
        <f t="shared" si="34"/>
        <v>Large</v>
      </c>
    </row>
    <row r="142" spans="1:19" x14ac:dyDescent="0.25">
      <c r="A142" s="1">
        <v>45894</v>
      </c>
      <c r="B142" t="s">
        <v>39</v>
      </c>
      <c r="C142" t="s">
        <v>25</v>
      </c>
      <c r="D142" t="s">
        <v>28</v>
      </c>
      <c r="E142" s="2">
        <v>3</v>
      </c>
      <c r="F142" s="3">
        <v>13790.41</v>
      </c>
      <c r="G142" s="3">
        <v>41371.230000000003</v>
      </c>
      <c r="H142" s="3">
        <v>20663.14</v>
      </c>
      <c r="I142" s="3">
        <v>20708.09</v>
      </c>
      <c r="J142" t="s">
        <v>18</v>
      </c>
      <c r="K142" t="s">
        <v>23</v>
      </c>
      <c r="L142">
        <f>tblRawBusinessData3[[#This Row],[Quantity]]*tblRawBusinessData3[[#This Row],[Unit_Price]]-tblRawBusinessData3[[#This Row],[Revenue]]</f>
        <v>0</v>
      </c>
      <c r="M142" s="3">
        <f t="shared" si="28"/>
        <v>0</v>
      </c>
      <c r="N142" s="3" t="str">
        <f t="shared" si="29"/>
        <v>Valid</v>
      </c>
      <c r="O142" s="3" t="str">
        <f t="shared" si="30"/>
        <v>Aug</v>
      </c>
      <c r="P142" s="3" t="str">
        <f t="shared" si="31"/>
        <v>Q3</v>
      </c>
      <c r="Q142">
        <f t="shared" si="32"/>
        <v>2025</v>
      </c>
      <c r="R142" s="4">
        <f t="shared" si="33"/>
        <v>0.50054325191685134</v>
      </c>
      <c r="S142" s="3" t="str">
        <f t="shared" si="34"/>
        <v>Large</v>
      </c>
    </row>
    <row r="143" spans="1:19" x14ac:dyDescent="0.25">
      <c r="A143" s="1">
        <v>45895</v>
      </c>
      <c r="B143" t="s">
        <v>42</v>
      </c>
      <c r="C143" t="s">
        <v>25</v>
      </c>
      <c r="D143" t="s">
        <v>31</v>
      </c>
      <c r="E143" s="2">
        <v>1</v>
      </c>
      <c r="F143" s="3">
        <v>18552.21</v>
      </c>
      <c r="G143" s="3">
        <v>18552.21</v>
      </c>
      <c r="H143" s="3">
        <v>10781.03</v>
      </c>
      <c r="I143" s="3">
        <v>7771.18</v>
      </c>
      <c r="J143" t="s">
        <v>27</v>
      </c>
      <c r="K143" t="s">
        <v>30</v>
      </c>
      <c r="L143">
        <f>tblRawBusinessData3[[#This Row],[Quantity]]*tblRawBusinessData3[[#This Row],[Unit_Price]]-tblRawBusinessData3[[#This Row],[Revenue]]</f>
        <v>0</v>
      </c>
      <c r="M143" s="3">
        <f t="shared" si="28"/>
        <v>0</v>
      </c>
      <c r="N143" s="3" t="str">
        <f t="shared" si="29"/>
        <v>Valid</v>
      </c>
      <c r="O143" s="3" t="str">
        <f t="shared" si="30"/>
        <v>Aug</v>
      </c>
      <c r="P143" s="3" t="str">
        <f t="shared" si="31"/>
        <v>Q3</v>
      </c>
      <c r="Q143">
        <f t="shared" si="32"/>
        <v>2025</v>
      </c>
      <c r="R143" s="4">
        <f t="shared" si="33"/>
        <v>0.41888163189183397</v>
      </c>
      <c r="S143" s="3" t="str">
        <f t="shared" si="34"/>
        <v>Medium</v>
      </c>
    </row>
    <row r="144" spans="1:19" x14ac:dyDescent="0.25">
      <c r="A144" s="1">
        <v>45900</v>
      </c>
      <c r="B144" t="s">
        <v>41</v>
      </c>
      <c r="C144" t="s">
        <v>12</v>
      </c>
      <c r="D144" t="s">
        <v>13</v>
      </c>
      <c r="E144" s="2">
        <v>1</v>
      </c>
      <c r="F144" s="3">
        <v>9024.56</v>
      </c>
      <c r="G144" s="3">
        <v>9024.56</v>
      </c>
      <c r="H144" s="3">
        <v>5124.17</v>
      </c>
      <c r="I144" s="3">
        <v>3900.39</v>
      </c>
      <c r="J144" t="s">
        <v>18</v>
      </c>
      <c r="K144" t="s">
        <v>19</v>
      </c>
      <c r="L144">
        <f>tblRawBusinessData3[[#This Row],[Quantity]]*tblRawBusinessData3[[#This Row],[Unit_Price]]-tblRawBusinessData3[[#This Row],[Revenue]]</f>
        <v>0</v>
      </c>
      <c r="M144" s="3">
        <f t="shared" si="28"/>
        <v>0</v>
      </c>
      <c r="N144" s="3" t="str">
        <f t="shared" si="29"/>
        <v>Valid</v>
      </c>
      <c r="O144" s="3" t="str">
        <f t="shared" si="30"/>
        <v>Aug</v>
      </c>
      <c r="P144" s="3" t="str">
        <f t="shared" si="31"/>
        <v>Q3</v>
      </c>
      <c r="Q144">
        <f t="shared" si="32"/>
        <v>2025</v>
      </c>
      <c r="R144" s="4">
        <f t="shared" si="33"/>
        <v>0.43219724839770585</v>
      </c>
      <c r="S144" s="3" t="str">
        <f t="shared" si="34"/>
        <v>Small</v>
      </c>
    </row>
    <row r="145" spans="1:19" x14ac:dyDescent="0.25">
      <c r="A145" s="1">
        <v>45905</v>
      </c>
      <c r="B145" t="s">
        <v>24</v>
      </c>
      <c r="C145" t="s">
        <v>34</v>
      </c>
      <c r="D145" t="s">
        <v>35</v>
      </c>
      <c r="E145" s="2">
        <v>1</v>
      </c>
      <c r="F145" s="3">
        <v>5829.69</v>
      </c>
      <c r="G145" s="3">
        <v>5829.69</v>
      </c>
      <c r="H145" s="3">
        <v>5109.5200000000004</v>
      </c>
      <c r="I145" s="3">
        <v>720.17</v>
      </c>
      <c r="J145" t="s">
        <v>14</v>
      </c>
      <c r="K145" t="s">
        <v>23</v>
      </c>
      <c r="L145">
        <f>tblRawBusinessData3[[#This Row],[Quantity]]*tblRawBusinessData3[[#This Row],[Unit_Price]]-tblRawBusinessData3[[#This Row],[Revenue]]</f>
        <v>0</v>
      </c>
      <c r="M145" s="3">
        <f t="shared" si="28"/>
        <v>0</v>
      </c>
      <c r="N145" s="3" t="str">
        <f t="shared" si="29"/>
        <v>Valid</v>
      </c>
      <c r="O145" s="3" t="str">
        <f t="shared" si="30"/>
        <v>Sep</v>
      </c>
      <c r="P145" s="3" t="str">
        <f t="shared" si="31"/>
        <v>Q3</v>
      </c>
      <c r="Q145">
        <f t="shared" si="32"/>
        <v>2025</v>
      </c>
      <c r="R145" s="4">
        <f t="shared" si="33"/>
        <v>0.12353487063634602</v>
      </c>
      <c r="S145" s="3" t="str">
        <f t="shared" si="34"/>
        <v>Small</v>
      </c>
    </row>
    <row r="146" spans="1:19" x14ac:dyDescent="0.25">
      <c r="A146" s="1">
        <v>45906</v>
      </c>
      <c r="B146" t="s">
        <v>50</v>
      </c>
      <c r="C146" t="s">
        <v>21</v>
      </c>
      <c r="D146" t="s">
        <v>54</v>
      </c>
      <c r="E146" s="2">
        <v>2</v>
      </c>
      <c r="F146" s="3">
        <v>6731.76</v>
      </c>
      <c r="G146" s="3">
        <v>13463.52</v>
      </c>
      <c r="H146" s="3">
        <v>10481.540000000001</v>
      </c>
      <c r="I146" s="3">
        <v>2981.98</v>
      </c>
      <c r="J146" t="s">
        <v>32</v>
      </c>
      <c r="K146" t="s">
        <v>19</v>
      </c>
      <c r="L146">
        <f>tblRawBusinessData3[[#This Row],[Quantity]]*tblRawBusinessData3[[#This Row],[Unit_Price]]-tblRawBusinessData3[[#This Row],[Revenue]]</f>
        <v>0</v>
      </c>
      <c r="M146" s="3">
        <f t="shared" si="28"/>
        <v>0</v>
      </c>
      <c r="N146" s="3" t="str">
        <f t="shared" si="29"/>
        <v>Valid</v>
      </c>
      <c r="O146" s="3" t="str">
        <f t="shared" si="30"/>
        <v>Sep</v>
      </c>
      <c r="P146" s="3" t="str">
        <f t="shared" si="31"/>
        <v>Q3</v>
      </c>
      <c r="Q146">
        <f t="shared" si="32"/>
        <v>2025</v>
      </c>
      <c r="R146" s="4">
        <f t="shared" si="33"/>
        <v>0.22148591155953271</v>
      </c>
      <c r="S146" s="3" t="str">
        <f t="shared" si="34"/>
        <v>Medium</v>
      </c>
    </row>
    <row r="147" spans="1:19" x14ac:dyDescent="0.25">
      <c r="A147" s="1">
        <v>45907</v>
      </c>
      <c r="B147" t="s">
        <v>33</v>
      </c>
      <c r="C147" t="s">
        <v>12</v>
      </c>
      <c r="D147" t="s">
        <v>13</v>
      </c>
      <c r="E147" s="2">
        <v>4</v>
      </c>
      <c r="F147" s="3">
        <v>10781.05</v>
      </c>
      <c r="G147" s="3">
        <v>43124.2</v>
      </c>
      <c r="H147" s="3">
        <v>23394.89</v>
      </c>
      <c r="I147" s="3">
        <v>19729.310000000001</v>
      </c>
      <c r="J147" t="s">
        <v>32</v>
      </c>
      <c r="K147" t="s">
        <v>19</v>
      </c>
      <c r="L147">
        <f>tblRawBusinessData3[[#This Row],[Quantity]]*tblRawBusinessData3[[#This Row],[Unit_Price]]-tblRawBusinessData3[[#This Row],[Revenue]]</f>
        <v>0</v>
      </c>
      <c r="M147" s="3">
        <f t="shared" si="28"/>
        <v>0</v>
      </c>
      <c r="N147" s="3" t="str">
        <f t="shared" si="29"/>
        <v>Valid</v>
      </c>
      <c r="O147" s="3" t="str">
        <f t="shared" si="30"/>
        <v>Sep</v>
      </c>
      <c r="P147" s="3" t="str">
        <f t="shared" si="31"/>
        <v>Q3</v>
      </c>
      <c r="Q147">
        <f t="shared" si="32"/>
        <v>2025</v>
      </c>
      <c r="R147" s="4">
        <f t="shared" si="33"/>
        <v>0.45749973332838645</v>
      </c>
      <c r="S147" s="3" t="str">
        <f t="shared" si="34"/>
        <v>Large</v>
      </c>
    </row>
    <row r="148" spans="1:19" x14ac:dyDescent="0.25">
      <c r="A148" s="1">
        <v>45909</v>
      </c>
      <c r="B148" t="s">
        <v>44</v>
      </c>
      <c r="C148" t="s">
        <v>37</v>
      </c>
      <c r="D148" t="s">
        <v>38</v>
      </c>
      <c r="E148" s="2">
        <v>3</v>
      </c>
      <c r="F148" s="3">
        <v>5262.63</v>
      </c>
      <c r="G148" s="3">
        <v>15787.89</v>
      </c>
      <c r="H148" s="3">
        <v>5117.3500000000004</v>
      </c>
      <c r="I148" s="3">
        <v>10670.54</v>
      </c>
      <c r="J148" t="s">
        <v>14</v>
      </c>
      <c r="K148" t="s">
        <v>15</v>
      </c>
      <c r="L148">
        <f>tblRawBusinessData3[[#This Row],[Quantity]]*tblRawBusinessData3[[#This Row],[Unit_Price]]-tblRawBusinessData3[[#This Row],[Revenue]]</f>
        <v>0</v>
      </c>
      <c r="M148" s="3">
        <f t="shared" si="28"/>
        <v>0</v>
      </c>
      <c r="N148" s="3" t="str">
        <f t="shared" si="29"/>
        <v>Valid</v>
      </c>
      <c r="O148" s="3" t="str">
        <f t="shared" si="30"/>
        <v>Sep</v>
      </c>
      <c r="P148" s="3" t="str">
        <f t="shared" si="31"/>
        <v>Q3</v>
      </c>
      <c r="Q148">
        <f t="shared" si="32"/>
        <v>2025</v>
      </c>
      <c r="R148" s="4">
        <f t="shared" si="33"/>
        <v>0.67586865629289294</v>
      </c>
      <c r="S148" s="3" t="str">
        <f t="shared" si="34"/>
        <v>Medium</v>
      </c>
    </row>
    <row r="149" spans="1:19" x14ac:dyDescent="0.25">
      <c r="A149" s="1">
        <v>45910</v>
      </c>
      <c r="B149" t="s">
        <v>39</v>
      </c>
      <c r="C149" t="s">
        <v>25</v>
      </c>
      <c r="D149" t="s">
        <v>28</v>
      </c>
      <c r="E149" s="2">
        <v>2</v>
      </c>
      <c r="F149" s="3">
        <v>25636.95</v>
      </c>
      <c r="G149" s="3">
        <v>51273.9</v>
      </c>
      <c r="H149" s="3">
        <v>23817.17</v>
      </c>
      <c r="I149" s="3">
        <v>27456.73</v>
      </c>
      <c r="J149" t="s">
        <v>32</v>
      </c>
      <c r="K149" t="s">
        <v>19</v>
      </c>
      <c r="L149">
        <f>tblRawBusinessData3[[#This Row],[Quantity]]*tblRawBusinessData3[[#This Row],[Unit_Price]]-tblRawBusinessData3[[#This Row],[Revenue]]</f>
        <v>0</v>
      </c>
      <c r="M149" s="3">
        <f t="shared" si="28"/>
        <v>0</v>
      </c>
      <c r="N149" s="3" t="str">
        <f t="shared" si="29"/>
        <v>Valid</v>
      </c>
      <c r="O149" s="3" t="str">
        <f t="shared" si="30"/>
        <v>Sep</v>
      </c>
      <c r="P149" s="3" t="str">
        <f t="shared" si="31"/>
        <v>Q3</v>
      </c>
      <c r="Q149">
        <f t="shared" si="32"/>
        <v>2025</v>
      </c>
      <c r="R149" s="4">
        <f t="shared" si="33"/>
        <v>0.53549135135029713</v>
      </c>
      <c r="S149" s="3" t="str">
        <f t="shared" si="34"/>
        <v>Large</v>
      </c>
    </row>
    <row r="150" spans="1:19" x14ac:dyDescent="0.25">
      <c r="A150" s="1">
        <v>45910</v>
      </c>
      <c r="B150" t="s">
        <v>51</v>
      </c>
      <c r="C150" t="s">
        <v>21</v>
      </c>
      <c r="D150" t="s">
        <v>22</v>
      </c>
      <c r="E150" s="2">
        <v>6</v>
      </c>
      <c r="F150" s="3">
        <v>11019.31</v>
      </c>
      <c r="G150" s="3">
        <v>66115.86</v>
      </c>
      <c r="H150" s="3">
        <v>49492.91</v>
      </c>
      <c r="I150" s="3">
        <v>16622.95</v>
      </c>
      <c r="J150" t="s">
        <v>29</v>
      </c>
      <c r="K150" t="s">
        <v>30</v>
      </c>
      <c r="L150">
        <f>tblRawBusinessData3[[#This Row],[Quantity]]*tblRawBusinessData3[[#This Row],[Unit_Price]]-tblRawBusinessData3[[#This Row],[Revenue]]</f>
        <v>0</v>
      </c>
      <c r="M150" s="3">
        <f t="shared" si="28"/>
        <v>0</v>
      </c>
      <c r="N150" s="3" t="str">
        <f t="shared" si="29"/>
        <v>Valid</v>
      </c>
      <c r="O150" s="3" t="str">
        <f t="shared" si="30"/>
        <v>Sep</v>
      </c>
      <c r="P150" s="3" t="str">
        <f t="shared" si="31"/>
        <v>Q3</v>
      </c>
      <c r="Q150">
        <f t="shared" si="32"/>
        <v>2025</v>
      </c>
      <c r="R150" s="4">
        <f t="shared" si="33"/>
        <v>0.25142151973822924</v>
      </c>
      <c r="S150" s="3" t="str">
        <f t="shared" si="34"/>
        <v>Large</v>
      </c>
    </row>
    <row r="151" spans="1:19" x14ac:dyDescent="0.25">
      <c r="A151" s="1">
        <v>45912</v>
      </c>
      <c r="B151" t="s">
        <v>42</v>
      </c>
      <c r="C151" t="s">
        <v>21</v>
      </c>
      <c r="D151" t="s">
        <v>40</v>
      </c>
      <c r="E151" s="2">
        <v>4</v>
      </c>
      <c r="F151" s="3">
        <v>72852.62</v>
      </c>
      <c r="G151" s="3">
        <v>291410.48</v>
      </c>
      <c r="H151" s="3">
        <v>235927.95</v>
      </c>
      <c r="I151" s="3">
        <v>55482.53</v>
      </c>
      <c r="J151" t="s">
        <v>14</v>
      </c>
      <c r="K151" t="s">
        <v>15</v>
      </c>
      <c r="L151">
        <f>tblRawBusinessData3[[#This Row],[Quantity]]*tblRawBusinessData3[[#This Row],[Unit_Price]]-tblRawBusinessData3[[#This Row],[Revenue]]</f>
        <v>0</v>
      </c>
      <c r="M151" s="3">
        <f t="shared" si="28"/>
        <v>0</v>
      </c>
      <c r="N151" s="3" t="str">
        <f t="shared" si="29"/>
        <v>Valid</v>
      </c>
      <c r="O151" s="3" t="str">
        <f t="shared" si="30"/>
        <v>Sep</v>
      </c>
      <c r="P151" s="3" t="str">
        <f t="shared" si="31"/>
        <v>Q3</v>
      </c>
      <c r="Q151">
        <f t="shared" si="32"/>
        <v>2025</v>
      </c>
      <c r="R151" s="4">
        <f t="shared" si="33"/>
        <v>0.19039304969402612</v>
      </c>
      <c r="S151" s="3" t="str">
        <f t="shared" si="34"/>
        <v>Large</v>
      </c>
    </row>
    <row r="152" spans="1:19" x14ac:dyDescent="0.25">
      <c r="A152" s="1">
        <v>45915</v>
      </c>
      <c r="B152" t="s">
        <v>39</v>
      </c>
      <c r="C152" t="s">
        <v>12</v>
      </c>
      <c r="D152" t="s">
        <v>13</v>
      </c>
      <c r="E152" s="2">
        <v>1</v>
      </c>
      <c r="F152" s="3">
        <v>9137.11</v>
      </c>
      <c r="G152" s="3">
        <v>9137.11</v>
      </c>
      <c r="H152" s="3">
        <v>4896.62</v>
      </c>
      <c r="I152" s="3">
        <v>4240.49</v>
      </c>
      <c r="J152" t="s">
        <v>14</v>
      </c>
      <c r="K152" t="s">
        <v>19</v>
      </c>
      <c r="L152">
        <f>tblRawBusinessData3[[#This Row],[Quantity]]*tblRawBusinessData3[[#This Row],[Unit_Price]]-tblRawBusinessData3[[#This Row],[Revenue]]</f>
        <v>0</v>
      </c>
      <c r="M152" s="3">
        <f t="shared" si="28"/>
        <v>0</v>
      </c>
      <c r="N152" s="3" t="str">
        <f t="shared" si="29"/>
        <v>Valid</v>
      </c>
      <c r="O152" s="3" t="str">
        <f t="shared" si="30"/>
        <v>Sep</v>
      </c>
      <c r="P152" s="3" t="str">
        <f t="shared" si="31"/>
        <v>Q3</v>
      </c>
      <c r="Q152">
        <f t="shared" si="32"/>
        <v>2025</v>
      </c>
      <c r="R152" s="4">
        <f t="shared" si="33"/>
        <v>0.46409532116829055</v>
      </c>
      <c r="S152" s="3" t="str">
        <f t="shared" si="34"/>
        <v>Small</v>
      </c>
    </row>
    <row r="153" spans="1:19" x14ac:dyDescent="0.25">
      <c r="A153" s="1">
        <v>45915</v>
      </c>
      <c r="B153" t="s">
        <v>50</v>
      </c>
      <c r="C153" t="s">
        <v>21</v>
      </c>
      <c r="D153" t="s">
        <v>40</v>
      </c>
      <c r="E153" s="2">
        <v>3</v>
      </c>
      <c r="F153" s="3">
        <v>25506.69</v>
      </c>
      <c r="G153" s="3">
        <v>76520.070000000007</v>
      </c>
      <c r="H153" s="3">
        <v>59383.42</v>
      </c>
      <c r="I153" s="3">
        <v>17136.650000000001</v>
      </c>
      <c r="J153" t="s">
        <v>27</v>
      </c>
      <c r="K153" t="s">
        <v>19</v>
      </c>
      <c r="L153">
        <f>tblRawBusinessData3[[#This Row],[Quantity]]*tblRawBusinessData3[[#This Row],[Unit_Price]]-tblRawBusinessData3[[#This Row],[Revenue]]</f>
        <v>0</v>
      </c>
      <c r="M153" s="3">
        <f t="shared" si="28"/>
        <v>0</v>
      </c>
      <c r="N153" s="3" t="str">
        <f t="shared" si="29"/>
        <v>Valid</v>
      </c>
      <c r="O153" s="3" t="str">
        <f t="shared" si="30"/>
        <v>Sep</v>
      </c>
      <c r="P153" s="3" t="str">
        <f t="shared" si="31"/>
        <v>Q3</v>
      </c>
      <c r="Q153">
        <f t="shared" si="32"/>
        <v>2025</v>
      </c>
      <c r="R153" s="4">
        <f t="shared" si="33"/>
        <v>0.22394974285831154</v>
      </c>
      <c r="S153" s="3" t="str">
        <f t="shared" si="34"/>
        <v>Large</v>
      </c>
    </row>
    <row r="154" spans="1:19" x14ac:dyDescent="0.25">
      <c r="A154" s="1">
        <v>45916</v>
      </c>
      <c r="B154" t="s">
        <v>53</v>
      </c>
      <c r="C154" t="s">
        <v>34</v>
      </c>
      <c r="D154" t="s">
        <v>35</v>
      </c>
      <c r="E154" s="2">
        <v>8</v>
      </c>
      <c r="F154" s="3">
        <v>2444.12</v>
      </c>
      <c r="G154" s="3">
        <v>19552.96</v>
      </c>
      <c r="H154" s="3">
        <v>14851.61</v>
      </c>
      <c r="I154" s="3">
        <v>4701.3500000000004</v>
      </c>
      <c r="J154" t="s">
        <v>29</v>
      </c>
      <c r="K154" t="s">
        <v>23</v>
      </c>
      <c r="L154">
        <f>tblRawBusinessData3[[#This Row],[Quantity]]*tblRawBusinessData3[[#This Row],[Unit_Price]]-tblRawBusinessData3[[#This Row],[Revenue]]</f>
        <v>0</v>
      </c>
      <c r="M154" s="3">
        <f t="shared" si="28"/>
        <v>0</v>
      </c>
      <c r="N154" s="3" t="str">
        <f t="shared" si="29"/>
        <v>Valid</v>
      </c>
      <c r="O154" s="3" t="str">
        <f t="shared" si="30"/>
        <v>Sep</v>
      </c>
      <c r="P154" s="3" t="str">
        <f t="shared" si="31"/>
        <v>Q3</v>
      </c>
      <c r="Q154">
        <f t="shared" si="32"/>
        <v>2025</v>
      </c>
      <c r="R154" s="4">
        <f t="shared" si="33"/>
        <v>0.24044185637366416</v>
      </c>
      <c r="S154" s="3" t="str">
        <f t="shared" si="34"/>
        <v>Medium</v>
      </c>
    </row>
    <row r="155" spans="1:19" x14ac:dyDescent="0.25">
      <c r="A155" s="1">
        <v>45916</v>
      </c>
      <c r="B155" t="s">
        <v>55</v>
      </c>
      <c r="C155" t="s">
        <v>34</v>
      </c>
      <c r="D155" t="s">
        <v>35</v>
      </c>
      <c r="E155" s="2">
        <v>1</v>
      </c>
      <c r="F155" s="3">
        <v>4233.58</v>
      </c>
      <c r="G155" s="3">
        <v>4233.58</v>
      </c>
      <c r="H155" s="3">
        <v>3270.36</v>
      </c>
      <c r="I155" s="3">
        <v>963.22</v>
      </c>
      <c r="J155" t="s">
        <v>29</v>
      </c>
      <c r="K155" t="s">
        <v>23</v>
      </c>
      <c r="L155">
        <f>tblRawBusinessData3[[#This Row],[Quantity]]*tblRawBusinessData3[[#This Row],[Unit_Price]]-tblRawBusinessData3[[#This Row],[Revenue]]</f>
        <v>0</v>
      </c>
      <c r="M155" s="3">
        <f t="shared" si="28"/>
        <v>0</v>
      </c>
      <c r="N155" s="3" t="str">
        <f t="shared" si="29"/>
        <v>Valid</v>
      </c>
      <c r="O155" s="3" t="str">
        <f t="shared" si="30"/>
        <v>Sep</v>
      </c>
      <c r="P155" s="3" t="str">
        <f t="shared" si="31"/>
        <v>Q3</v>
      </c>
      <c r="Q155">
        <f t="shared" si="32"/>
        <v>2025</v>
      </c>
      <c r="R155" s="4">
        <f t="shared" si="33"/>
        <v>0.22751902645042732</v>
      </c>
      <c r="S155" s="3" t="str">
        <f t="shared" si="34"/>
        <v>Small</v>
      </c>
    </row>
    <row r="156" spans="1:19" x14ac:dyDescent="0.25">
      <c r="A156" s="1">
        <v>45916</v>
      </c>
      <c r="B156" t="s">
        <v>53</v>
      </c>
      <c r="C156" t="s">
        <v>37</v>
      </c>
      <c r="D156" t="s">
        <v>47</v>
      </c>
      <c r="E156" s="2">
        <v>1</v>
      </c>
      <c r="F156" s="3">
        <v>8912.25</v>
      </c>
      <c r="G156" s="3">
        <v>8912.25</v>
      </c>
      <c r="H156" s="3">
        <v>2404.5100000000002</v>
      </c>
      <c r="I156" s="3">
        <v>6507.74</v>
      </c>
      <c r="J156" t="s">
        <v>18</v>
      </c>
      <c r="K156" t="s">
        <v>46</v>
      </c>
      <c r="L156">
        <f>tblRawBusinessData3[[#This Row],[Quantity]]*tblRawBusinessData3[[#This Row],[Unit_Price]]-tblRawBusinessData3[[#This Row],[Revenue]]</f>
        <v>0</v>
      </c>
      <c r="M156" s="3">
        <f t="shared" si="28"/>
        <v>0</v>
      </c>
      <c r="N156" s="3" t="str">
        <f t="shared" si="29"/>
        <v>Valid</v>
      </c>
      <c r="O156" s="3" t="str">
        <f t="shared" si="30"/>
        <v>Sep</v>
      </c>
      <c r="P156" s="3" t="str">
        <f t="shared" si="31"/>
        <v>Q3</v>
      </c>
      <c r="Q156">
        <f t="shared" si="32"/>
        <v>2025</v>
      </c>
      <c r="R156" s="4">
        <f t="shared" si="33"/>
        <v>0.7302016886869197</v>
      </c>
      <c r="S156" s="3" t="str">
        <f t="shared" si="34"/>
        <v>Small</v>
      </c>
    </row>
    <row r="157" spans="1:19" x14ac:dyDescent="0.25">
      <c r="A157" s="1">
        <v>45918</v>
      </c>
      <c r="B157" t="s">
        <v>44</v>
      </c>
      <c r="C157" t="s">
        <v>37</v>
      </c>
      <c r="D157" t="s">
        <v>38</v>
      </c>
      <c r="E157" s="2">
        <v>2</v>
      </c>
      <c r="F157" s="3">
        <v>4726.5600000000004</v>
      </c>
      <c r="G157" s="3">
        <v>9453.1200000000008</v>
      </c>
      <c r="H157" s="3">
        <v>4093.07</v>
      </c>
      <c r="I157" s="3">
        <v>5360.05</v>
      </c>
      <c r="J157" t="s">
        <v>32</v>
      </c>
      <c r="K157" t="s">
        <v>23</v>
      </c>
      <c r="L157">
        <f>tblRawBusinessData3[[#This Row],[Quantity]]*tblRawBusinessData3[[#This Row],[Unit_Price]]-tblRawBusinessData3[[#This Row],[Revenue]]</f>
        <v>0</v>
      </c>
      <c r="M157" s="3">
        <f t="shared" si="28"/>
        <v>0</v>
      </c>
      <c r="N157" s="3" t="str">
        <f t="shared" si="29"/>
        <v>Valid</v>
      </c>
      <c r="O157" s="3" t="str">
        <f t="shared" si="30"/>
        <v>Sep</v>
      </c>
      <c r="P157" s="3" t="str">
        <f t="shared" si="31"/>
        <v>Q3</v>
      </c>
      <c r="Q157">
        <f t="shared" si="32"/>
        <v>2025</v>
      </c>
      <c r="R157" s="4">
        <f t="shared" si="33"/>
        <v>0.56701385362716217</v>
      </c>
      <c r="S157" s="3" t="str">
        <f t="shared" si="34"/>
        <v>Small</v>
      </c>
    </row>
    <row r="158" spans="1:19" x14ac:dyDescent="0.25">
      <c r="A158" s="1">
        <v>45918</v>
      </c>
      <c r="B158" t="s">
        <v>51</v>
      </c>
      <c r="C158" t="s">
        <v>34</v>
      </c>
      <c r="D158" t="s">
        <v>52</v>
      </c>
      <c r="E158" s="2">
        <v>11</v>
      </c>
      <c r="F158" s="3">
        <v>1717.25</v>
      </c>
      <c r="G158" s="3">
        <v>18889.75</v>
      </c>
      <c r="H158" s="3">
        <v>14938.24</v>
      </c>
      <c r="I158" s="3">
        <v>3951.51</v>
      </c>
      <c r="J158" t="s">
        <v>18</v>
      </c>
      <c r="K158" t="s">
        <v>19</v>
      </c>
      <c r="L158">
        <f>tblRawBusinessData3[[#This Row],[Quantity]]*tblRawBusinessData3[[#This Row],[Unit_Price]]-tblRawBusinessData3[[#This Row],[Revenue]]</f>
        <v>0</v>
      </c>
      <c r="M158" s="3">
        <f t="shared" si="28"/>
        <v>0</v>
      </c>
      <c r="N158" s="3" t="str">
        <f t="shared" si="29"/>
        <v>Valid</v>
      </c>
      <c r="O158" s="3" t="str">
        <f t="shared" si="30"/>
        <v>Sep</v>
      </c>
      <c r="P158" s="3" t="str">
        <f t="shared" si="31"/>
        <v>Q3</v>
      </c>
      <c r="Q158">
        <f t="shared" si="32"/>
        <v>2025</v>
      </c>
      <c r="R158" s="4">
        <f t="shared" si="33"/>
        <v>0.20918805172117155</v>
      </c>
      <c r="S158" s="3" t="str">
        <f t="shared" si="34"/>
        <v>Medium</v>
      </c>
    </row>
    <row r="159" spans="1:19" x14ac:dyDescent="0.25">
      <c r="A159" s="1">
        <v>45922</v>
      </c>
      <c r="B159" t="s">
        <v>42</v>
      </c>
      <c r="C159" t="s">
        <v>12</v>
      </c>
      <c r="D159" t="s">
        <v>48</v>
      </c>
      <c r="E159" s="2">
        <v>3</v>
      </c>
      <c r="F159" s="3">
        <v>34378.69</v>
      </c>
      <c r="G159" s="3">
        <v>103136.07</v>
      </c>
      <c r="H159" s="3">
        <v>62386.3</v>
      </c>
      <c r="I159" s="3">
        <v>40749.769999999997</v>
      </c>
      <c r="J159" t="s">
        <v>14</v>
      </c>
      <c r="K159" t="s">
        <v>46</v>
      </c>
      <c r="L159">
        <f>tblRawBusinessData3[[#This Row],[Quantity]]*tblRawBusinessData3[[#This Row],[Unit_Price]]-tblRawBusinessData3[[#This Row],[Revenue]]</f>
        <v>0</v>
      </c>
      <c r="M159" s="3">
        <f t="shared" si="28"/>
        <v>0</v>
      </c>
      <c r="N159" s="3" t="str">
        <f t="shared" si="29"/>
        <v>Valid</v>
      </c>
      <c r="O159" s="3" t="str">
        <f t="shared" si="30"/>
        <v>Sep</v>
      </c>
      <c r="P159" s="3" t="str">
        <f t="shared" si="31"/>
        <v>Q3</v>
      </c>
      <c r="Q159">
        <f t="shared" si="32"/>
        <v>2025</v>
      </c>
      <c r="R159" s="4">
        <f t="shared" si="33"/>
        <v>0.39510687192172433</v>
      </c>
      <c r="S159" s="3" t="str">
        <f t="shared" si="34"/>
        <v>Large</v>
      </c>
    </row>
    <row r="160" spans="1:19" x14ac:dyDescent="0.25">
      <c r="A160" s="1">
        <v>45923</v>
      </c>
      <c r="B160" t="s">
        <v>39</v>
      </c>
      <c r="C160" t="s">
        <v>25</v>
      </c>
      <c r="D160" t="s">
        <v>28</v>
      </c>
      <c r="E160" s="2">
        <v>1</v>
      </c>
      <c r="F160" s="3">
        <v>26742.21</v>
      </c>
      <c r="G160" s="3">
        <v>26742.21</v>
      </c>
      <c r="H160" s="3">
        <v>13754.13</v>
      </c>
      <c r="I160" s="3">
        <v>12988.08</v>
      </c>
      <c r="J160" t="s">
        <v>32</v>
      </c>
      <c r="K160" t="s">
        <v>30</v>
      </c>
      <c r="L160">
        <f>tblRawBusinessData3[[#This Row],[Quantity]]*tblRawBusinessData3[[#This Row],[Unit_Price]]-tblRawBusinessData3[[#This Row],[Revenue]]</f>
        <v>0</v>
      </c>
      <c r="M160" s="3">
        <f t="shared" si="28"/>
        <v>0</v>
      </c>
      <c r="N160" s="3" t="str">
        <f t="shared" si="29"/>
        <v>Valid</v>
      </c>
      <c r="O160" s="3" t="str">
        <f t="shared" si="30"/>
        <v>Sep</v>
      </c>
      <c r="P160" s="3" t="str">
        <f t="shared" si="31"/>
        <v>Q3</v>
      </c>
      <c r="Q160">
        <f t="shared" si="32"/>
        <v>2025</v>
      </c>
      <c r="R160" s="4">
        <f t="shared" si="33"/>
        <v>0.48567713737944623</v>
      </c>
      <c r="S160" s="3" t="str">
        <f t="shared" si="34"/>
        <v>Medium</v>
      </c>
    </row>
    <row r="161" spans="1:19" x14ac:dyDescent="0.25">
      <c r="A161" s="1">
        <v>45923</v>
      </c>
      <c r="B161" t="s">
        <v>50</v>
      </c>
      <c r="C161" t="s">
        <v>21</v>
      </c>
      <c r="D161" t="s">
        <v>22</v>
      </c>
      <c r="E161" s="2">
        <v>3</v>
      </c>
      <c r="F161" s="3">
        <v>15214.9</v>
      </c>
      <c r="G161" s="3">
        <v>45644.7</v>
      </c>
      <c r="H161" s="3">
        <v>34289.480000000003</v>
      </c>
      <c r="I161" s="3">
        <v>11355.22</v>
      </c>
      <c r="J161" t="s">
        <v>14</v>
      </c>
      <c r="K161" t="s">
        <v>15</v>
      </c>
      <c r="L161">
        <f>tblRawBusinessData3[[#This Row],[Quantity]]*tblRawBusinessData3[[#This Row],[Unit_Price]]-tblRawBusinessData3[[#This Row],[Revenue]]</f>
        <v>0</v>
      </c>
      <c r="M161" s="3">
        <f t="shared" si="28"/>
        <v>0</v>
      </c>
      <c r="N161" s="3" t="str">
        <f t="shared" si="29"/>
        <v>Valid</v>
      </c>
      <c r="O161" s="3" t="str">
        <f t="shared" si="30"/>
        <v>Sep</v>
      </c>
      <c r="P161" s="3" t="str">
        <f t="shared" si="31"/>
        <v>Q3</v>
      </c>
      <c r="Q161">
        <f t="shared" si="32"/>
        <v>2025</v>
      </c>
      <c r="R161" s="4">
        <f t="shared" si="33"/>
        <v>0.24877411835328089</v>
      </c>
      <c r="S161" s="3" t="str">
        <f t="shared" si="34"/>
        <v>Large</v>
      </c>
    </row>
    <row r="162" spans="1:19" x14ac:dyDescent="0.25">
      <c r="A162" s="1">
        <v>45925</v>
      </c>
      <c r="B162" t="s">
        <v>53</v>
      </c>
      <c r="C162" t="s">
        <v>37</v>
      </c>
      <c r="D162" t="s">
        <v>38</v>
      </c>
      <c r="E162" s="2">
        <v>1</v>
      </c>
      <c r="F162" s="3">
        <v>10950.08</v>
      </c>
      <c r="G162" s="3">
        <v>10950.08</v>
      </c>
      <c r="H162" s="3">
        <v>3625.75</v>
      </c>
      <c r="I162" s="3">
        <v>7324.33</v>
      </c>
      <c r="J162" t="s">
        <v>18</v>
      </c>
      <c r="K162" t="s">
        <v>15</v>
      </c>
      <c r="L162">
        <f>tblRawBusinessData3[[#This Row],[Quantity]]*tblRawBusinessData3[[#This Row],[Unit_Price]]-tblRawBusinessData3[[#This Row],[Revenue]]</f>
        <v>0</v>
      </c>
      <c r="M162" s="3">
        <f t="shared" ref="M162:M193" si="35">G162-H162-I162</f>
        <v>0</v>
      </c>
      <c r="N162" s="3" t="str">
        <f t="shared" ref="N162:N193" si="36">IF(H162&lt;G162,"Valid","Check")</f>
        <v>Valid</v>
      </c>
      <c r="O162" s="3" t="str">
        <f t="shared" ref="O162:O193" si="37">TEXT(A162,"mmm")</f>
        <v>Sep</v>
      </c>
      <c r="P162" s="3" t="str">
        <f t="shared" ref="P162:P193" si="38">"Q"&amp;ROUNDUP(MONTH(A162)/3,0)</f>
        <v>Q3</v>
      </c>
      <c r="Q162">
        <f t="shared" ref="Q162:Q193" si="39">YEAR(A162)</f>
        <v>2025</v>
      </c>
      <c r="R162" s="4">
        <f t="shared" ref="R162:R193" si="40">I162/G162</f>
        <v>0.66888369765335043</v>
      </c>
      <c r="S162" s="3" t="str">
        <f t="shared" ref="S162:S193" si="41">IF(G162&lt;10000,"Small",IF(G162&lt;30000,"Medium","Large"))</f>
        <v>Medium</v>
      </c>
    </row>
    <row r="163" spans="1:19" x14ac:dyDescent="0.25">
      <c r="A163" s="1">
        <v>45926</v>
      </c>
      <c r="B163" t="s">
        <v>53</v>
      </c>
      <c r="C163" t="s">
        <v>37</v>
      </c>
      <c r="D163" t="s">
        <v>45</v>
      </c>
      <c r="E163" s="2">
        <v>1</v>
      </c>
      <c r="F163" s="3">
        <v>18355.7</v>
      </c>
      <c r="G163" s="3">
        <v>18355.7</v>
      </c>
      <c r="H163" s="3">
        <v>6234.63</v>
      </c>
      <c r="I163" s="3">
        <v>12121.07</v>
      </c>
      <c r="J163" t="s">
        <v>14</v>
      </c>
      <c r="K163" t="s">
        <v>30</v>
      </c>
      <c r="L163">
        <f>tblRawBusinessData3[[#This Row],[Quantity]]*tblRawBusinessData3[[#This Row],[Unit_Price]]-tblRawBusinessData3[[#This Row],[Revenue]]</f>
        <v>0</v>
      </c>
      <c r="M163" s="3">
        <f t="shared" si="35"/>
        <v>0</v>
      </c>
      <c r="N163" s="3" t="str">
        <f t="shared" si="36"/>
        <v>Valid</v>
      </c>
      <c r="O163" s="3" t="str">
        <f t="shared" si="37"/>
        <v>Sep</v>
      </c>
      <c r="P163" s="3" t="str">
        <f t="shared" si="38"/>
        <v>Q3</v>
      </c>
      <c r="Q163">
        <f t="shared" si="39"/>
        <v>2025</v>
      </c>
      <c r="R163" s="4">
        <f t="shared" si="40"/>
        <v>0.6603436534700392</v>
      </c>
      <c r="S163" s="3" t="str">
        <f t="shared" si="41"/>
        <v>Medium</v>
      </c>
    </row>
    <row r="164" spans="1:19" x14ac:dyDescent="0.25">
      <c r="A164" s="1">
        <v>45929</v>
      </c>
      <c r="B164" t="s">
        <v>50</v>
      </c>
      <c r="C164" t="s">
        <v>25</v>
      </c>
      <c r="D164" t="s">
        <v>31</v>
      </c>
      <c r="E164" s="2">
        <v>4</v>
      </c>
      <c r="F164" s="3">
        <v>12441.7</v>
      </c>
      <c r="G164" s="3">
        <v>49766.8</v>
      </c>
      <c r="H164" s="3">
        <v>24254.52</v>
      </c>
      <c r="I164" s="3">
        <v>25512.28</v>
      </c>
      <c r="J164" t="s">
        <v>18</v>
      </c>
      <c r="K164" t="s">
        <v>46</v>
      </c>
      <c r="L164">
        <f>tblRawBusinessData3[[#This Row],[Quantity]]*tblRawBusinessData3[[#This Row],[Unit_Price]]-tblRawBusinessData3[[#This Row],[Revenue]]</f>
        <v>0</v>
      </c>
      <c r="M164" s="3">
        <f t="shared" si="35"/>
        <v>0</v>
      </c>
      <c r="N164" s="3" t="str">
        <f t="shared" si="36"/>
        <v>Valid</v>
      </c>
      <c r="O164" s="3" t="str">
        <f t="shared" si="37"/>
        <v>Sep</v>
      </c>
      <c r="P164" s="3" t="str">
        <f t="shared" si="38"/>
        <v>Q3</v>
      </c>
      <c r="Q164">
        <f t="shared" si="39"/>
        <v>2025</v>
      </c>
      <c r="R164" s="4">
        <f t="shared" si="40"/>
        <v>0.51263653680767096</v>
      </c>
      <c r="S164" s="3" t="str">
        <f t="shared" si="41"/>
        <v>Large</v>
      </c>
    </row>
    <row r="165" spans="1:19" x14ac:dyDescent="0.25">
      <c r="A165" s="1">
        <v>45933</v>
      </c>
      <c r="B165" t="s">
        <v>24</v>
      </c>
      <c r="C165" t="s">
        <v>34</v>
      </c>
      <c r="D165" t="s">
        <v>49</v>
      </c>
      <c r="E165" s="2">
        <v>8</v>
      </c>
      <c r="F165" s="3">
        <v>1628.88</v>
      </c>
      <c r="G165" s="3">
        <v>13031.04</v>
      </c>
      <c r="H165" s="3">
        <v>10695.39</v>
      </c>
      <c r="I165" s="3">
        <v>2335.65</v>
      </c>
      <c r="J165" t="s">
        <v>14</v>
      </c>
      <c r="K165" t="s">
        <v>23</v>
      </c>
      <c r="L165">
        <f>tblRawBusinessData3[[#This Row],[Quantity]]*tblRawBusinessData3[[#This Row],[Unit_Price]]-tblRawBusinessData3[[#This Row],[Revenue]]</f>
        <v>0</v>
      </c>
      <c r="M165" s="3">
        <f t="shared" si="35"/>
        <v>0</v>
      </c>
      <c r="N165" s="3" t="str">
        <f t="shared" si="36"/>
        <v>Valid</v>
      </c>
      <c r="O165" s="3" t="str">
        <f t="shared" si="37"/>
        <v>Oct</v>
      </c>
      <c r="P165" s="3" t="str">
        <f t="shared" si="38"/>
        <v>Q4</v>
      </c>
      <c r="Q165">
        <f t="shared" si="39"/>
        <v>2025</v>
      </c>
      <c r="R165" s="4">
        <f t="shared" si="40"/>
        <v>0.17923742080447916</v>
      </c>
      <c r="S165" s="3" t="str">
        <f t="shared" si="41"/>
        <v>Medium</v>
      </c>
    </row>
    <row r="166" spans="1:19" x14ac:dyDescent="0.25">
      <c r="A166" s="1">
        <v>45933</v>
      </c>
      <c r="B166" t="s">
        <v>39</v>
      </c>
      <c r="C166" t="s">
        <v>25</v>
      </c>
      <c r="D166" t="s">
        <v>31</v>
      </c>
      <c r="E166" s="2">
        <v>3</v>
      </c>
      <c r="F166" s="3">
        <v>11576.15</v>
      </c>
      <c r="G166" s="3">
        <v>34728.449999999997</v>
      </c>
      <c r="H166" s="3">
        <v>17754.61</v>
      </c>
      <c r="I166" s="3">
        <v>16973.84</v>
      </c>
      <c r="J166" t="s">
        <v>29</v>
      </c>
      <c r="K166" t="s">
        <v>30</v>
      </c>
      <c r="L166">
        <f>tblRawBusinessData3[[#This Row],[Quantity]]*tblRawBusinessData3[[#This Row],[Unit_Price]]-tblRawBusinessData3[[#This Row],[Revenue]]</f>
        <v>0</v>
      </c>
      <c r="M166" s="3">
        <f t="shared" si="35"/>
        <v>0</v>
      </c>
      <c r="N166" s="3" t="str">
        <f t="shared" si="36"/>
        <v>Valid</v>
      </c>
      <c r="O166" s="3" t="str">
        <f t="shared" si="37"/>
        <v>Oct</v>
      </c>
      <c r="P166" s="3" t="str">
        <f t="shared" si="38"/>
        <v>Q4</v>
      </c>
      <c r="Q166">
        <f t="shared" si="39"/>
        <v>2025</v>
      </c>
      <c r="R166" s="4">
        <f t="shared" si="40"/>
        <v>0.48875892819863836</v>
      </c>
      <c r="S166" s="3" t="str">
        <f t="shared" si="41"/>
        <v>Large</v>
      </c>
    </row>
    <row r="167" spans="1:19" x14ac:dyDescent="0.25">
      <c r="A167" s="1">
        <v>45937</v>
      </c>
      <c r="B167" t="s">
        <v>39</v>
      </c>
      <c r="C167" t="s">
        <v>37</v>
      </c>
      <c r="D167" t="s">
        <v>45</v>
      </c>
      <c r="E167" s="2">
        <v>1</v>
      </c>
      <c r="F167" s="3">
        <v>12102.3</v>
      </c>
      <c r="G167" s="3">
        <v>12102.3</v>
      </c>
      <c r="H167" s="3">
        <v>3499.65</v>
      </c>
      <c r="I167" s="3">
        <v>8602.65</v>
      </c>
      <c r="J167" t="s">
        <v>14</v>
      </c>
      <c r="K167" t="s">
        <v>15</v>
      </c>
      <c r="L167">
        <f>tblRawBusinessData3[[#This Row],[Quantity]]*tblRawBusinessData3[[#This Row],[Unit_Price]]-tblRawBusinessData3[[#This Row],[Revenue]]</f>
        <v>0</v>
      </c>
      <c r="M167" s="3">
        <f t="shared" si="35"/>
        <v>0</v>
      </c>
      <c r="N167" s="3" t="str">
        <f t="shared" si="36"/>
        <v>Valid</v>
      </c>
      <c r="O167" s="3" t="str">
        <f t="shared" si="37"/>
        <v>Oct</v>
      </c>
      <c r="P167" s="3" t="str">
        <f t="shared" si="38"/>
        <v>Q4</v>
      </c>
      <c r="Q167">
        <f t="shared" si="39"/>
        <v>2025</v>
      </c>
      <c r="R167" s="4">
        <f t="shared" si="40"/>
        <v>0.71082769390942224</v>
      </c>
      <c r="S167" s="3" t="str">
        <f t="shared" si="41"/>
        <v>Medium</v>
      </c>
    </row>
    <row r="168" spans="1:19" x14ac:dyDescent="0.25">
      <c r="A168" s="1">
        <v>45938</v>
      </c>
      <c r="B168" t="s">
        <v>16</v>
      </c>
      <c r="C168" t="s">
        <v>21</v>
      </c>
      <c r="D168" t="s">
        <v>40</v>
      </c>
      <c r="E168" s="2">
        <v>2</v>
      </c>
      <c r="F168" s="3">
        <v>55793.16</v>
      </c>
      <c r="G168" s="3">
        <v>111586.32</v>
      </c>
      <c r="H168" s="3">
        <v>86750.29</v>
      </c>
      <c r="I168" s="3">
        <v>24836.03</v>
      </c>
      <c r="J168" t="s">
        <v>32</v>
      </c>
      <c r="K168" t="s">
        <v>30</v>
      </c>
      <c r="L168">
        <f>tblRawBusinessData3[[#This Row],[Quantity]]*tblRawBusinessData3[[#This Row],[Unit_Price]]-tblRawBusinessData3[[#This Row],[Revenue]]</f>
        <v>0</v>
      </c>
      <c r="M168" s="3">
        <f t="shared" si="35"/>
        <v>0</v>
      </c>
      <c r="N168" s="3" t="str">
        <f t="shared" si="36"/>
        <v>Valid</v>
      </c>
      <c r="O168" s="3" t="str">
        <f t="shared" si="37"/>
        <v>Oct</v>
      </c>
      <c r="P168" s="3" t="str">
        <f t="shared" si="38"/>
        <v>Q4</v>
      </c>
      <c r="Q168">
        <f t="shared" si="39"/>
        <v>2025</v>
      </c>
      <c r="R168" s="4">
        <f t="shared" si="40"/>
        <v>0.22257235474742779</v>
      </c>
      <c r="S168" s="3" t="str">
        <f t="shared" si="41"/>
        <v>Large</v>
      </c>
    </row>
    <row r="169" spans="1:19" x14ac:dyDescent="0.25">
      <c r="A169" s="1">
        <v>45940</v>
      </c>
      <c r="B169" t="s">
        <v>44</v>
      </c>
      <c r="C169" t="s">
        <v>25</v>
      </c>
      <c r="D169" t="s">
        <v>28</v>
      </c>
      <c r="E169" s="2">
        <v>2</v>
      </c>
      <c r="F169" s="3">
        <v>34225.5</v>
      </c>
      <c r="G169" s="3">
        <v>68451</v>
      </c>
      <c r="H169" s="3">
        <v>38256.519999999997</v>
      </c>
      <c r="I169" s="3">
        <v>30194.48</v>
      </c>
      <c r="J169" t="s">
        <v>32</v>
      </c>
      <c r="K169" t="s">
        <v>19</v>
      </c>
      <c r="L169">
        <f>tblRawBusinessData3[[#This Row],[Quantity]]*tblRawBusinessData3[[#This Row],[Unit_Price]]-tblRawBusinessData3[[#This Row],[Revenue]]</f>
        <v>0</v>
      </c>
      <c r="M169" s="3">
        <f t="shared" si="35"/>
        <v>0</v>
      </c>
      <c r="N169" s="3" t="str">
        <f t="shared" si="36"/>
        <v>Valid</v>
      </c>
      <c r="O169" s="3" t="str">
        <f t="shared" si="37"/>
        <v>Oct</v>
      </c>
      <c r="P169" s="3" t="str">
        <f t="shared" si="38"/>
        <v>Q4</v>
      </c>
      <c r="Q169">
        <f t="shared" si="39"/>
        <v>2025</v>
      </c>
      <c r="R169" s="4">
        <f t="shared" si="40"/>
        <v>0.44111086762793822</v>
      </c>
      <c r="S169" s="3" t="str">
        <f t="shared" si="41"/>
        <v>Large</v>
      </c>
    </row>
    <row r="170" spans="1:19" x14ac:dyDescent="0.25">
      <c r="A170" s="1">
        <v>45940</v>
      </c>
      <c r="B170" t="s">
        <v>11</v>
      </c>
      <c r="C170" t="s">
        <v>25</v>
      </c>
      <c r="D170" t="s">
        <v>26</v>
      </c>
      <c r="E170" s="2">
        <v>2</v>
      </c>
      <c r="F170" s="3">
        <v>16303.86</v>
      </c>
      <c r="G170" s="3">
        <v>32607.72</v>
      </c>
      <c r="H170" s="3">
        <v>20133.47</v>
      </c>
      <c r="I170" s="3">
        <v>12474.25</v>
      </c>
      <c r="J170" t="s">
        <v>32</v>
      </c>
      <c r="K170" t="s">
        <v>23</v>
      </c>
      <c r="L170">
        <f>tblRawBusinessData3[[#This Row],[Quantity]]*tblRawBusinessData3[[#This Row],[Unit_Price]]-tblRawBusinessData3[[#This Row],[Revenue]]</f>
        <v>0</v>
      </c>
      <c r="M170" s="3">
        <f t="shared" si="35"/>
        <v>0</v>
      </c>
      <c r="N170" s="3" t="str">
        <f t="shared" si="36"/>
        <v>Valid</v>
      </c>
      <c r="O170" s="3" t="str">
        <f t="shared" si="37"/>
        <v>Oct</v>
      </c>
      <c r="P170" s="3" t="str">
        <f t="shared" si="38"/>
        <v>Q4</v>
      </c>
      <c r="Q170">
        <f t="shared" si="39"/>
        <v>2025</v>
      </c>
      <c r="R170" s="4">
        <f t="shared" si="40"/>
        <v>0.38255511271563908</v>
      </c>
      <c r="S170" s="3" t="str">
        <f t="shared" si="41"/>
        <v>Large</v>
      </c>
    </row>
    <row r="171" spans="1:19" x14ac:dyDescent="0.25">
      <c r="A171" s="1">
        <v>45946</v>
      </c>
      <c r="B171" t="s">
        <v>44</v>
      </c>
      <c r="C171" t="s">
        <v>12</v>
      </c>
      <c r="D171" t="s">
        <v>48</v>
      </c>
      <c r="E171" s="2">
        <v>3</v>
      </c>
      <c r="F171" s="3">
        <v>26042.36</v>
      </c>
      <c r="G171" s="3">
        <v>78127.08</v>
      </c>
      <c r="H171" s="3">
        <v>45962.720000000001</v>
      </c>
      <c r="I171" s="3">
        <v>32164.36</v>
      </c>
      <c r="J171" t="s">
        <v>14</v>
      </c>
      <c r="K171" t="s">
        <v>23</v>
      </c>
      <c r="L171">
        <f>tblRawBusinessData3[[#This Row],[Quantity]]*tblRawBusinessData3[[#This Row],[Unit_Price]]-tblRawBusinessData3[[#This Row],[Revenue]]</f>
        <v>0</v>
      </c>
      <c r="M171" s="3">
        <f t="shared" si="35"/>
        <v>0</v>
      </c>
      <c r="N171" s="3" t="str">
        <f t="shared" si="36"/>
        <v>Valid</v>
      </c>
      <c r="O171" s="3" t="str">
        <f t="shared" si="37"/>
        <v>Oct</v>
      </c>
      <c r="P171" s="3" t="str">
        <f t="shared" si="38"/>
        <v>Q4</v>
      </c>
      <c r="Q171">
        <f t="shared" si="39"/>
        <v>2025</v>
      </c>
      <c r="R171" s="4">
        <f t="shared" si="40"/>
        <v>0.4116928470896391</v>
      </c>
      <c r="S171" s="3" t="str">
        <f t="shared" si="41"/>
        <v>Large</v>
      </c>
    </row>
    <row r="172" spans="1:19" x14ac:dyDescent="0.25">
      <c r="A172" s="1">
        <v>45946</v>
      </c>
      <c r="B172" t="s">
        <v>39</v>
      </c>
      <c r="C172" t="s">
        <v>25</v>
      </c>
      <c r="D172" t="s">
        <v>31</v>
      </c>
      <c r="E172" s="2">
        <v>2</v>
      </c>
      <c r="F172" s="3">
        <v>15437.79</v>
      </c>
      <c r="G172" s="3">
        <v>30875.58</v>
      </c>
      <c r="H172" s="3">
        <v>15071.05</v>
      </c>
      <c r="I172" s="3">
        <v>15804.53</v>
      </c>
      <c r="J172" t="s">
        <v>29</v>
      </c>
      <c r="K172" t="s">
        <v>23</v>
      </c>
      <c r="L172">
        <f>tblRawBusinessData3[[#This Row],[Quantity]]*tblRawBusinessData3[[#This Row],[Unit_Price]]-tblRawBusinessData3[[#This Row],[Revenue]]</f>
        <v>0</v>
      </c>
      <c r="M172" s="3">
        <f t="shared" si="35"/>
        <v>0</v>
      </c>
      <c r="N172" s="3" t="str">
        <f t="shared" si="36"/>
        <v>Valid</v>
      </c>
      <c r="O172" s="3" t="str">
        <f t="shared" si="37"/>
        <v>Oct</v>
      </c>
      <c r="P172" s="3" t="str">
        <f t="shared" si="38"/>
        <v>Q4</v>
      </c>
      <c r="Q172">
        <f t="shared" si="39"/>
        <v>2025</v>
      </c>
      <c r="R172" s="4">
        <f t="shared" si="40"/>
        <v>0.51187799549028712</v>
      </c>
      <c r="S172" s="3" t="str">
        <f t="shared" si="41"/>
        <v>Large</v>
      </c>
    </row>
    <row r="173" spans="1:19" x14ac:dyDescent="0.25">
      <c r="A173" s="1">
        <v>45948</v>
      </c>
      <c r="B173" t="s">
        <v>42</v>
      </c>
      <c r="C173" t="s">
        <v>12</v>
      </c>
      <c r="D173" t="s">
        <v>13</v>
      </c>
      <c r="E173" s="2">
        <v>4</v>
      </c>
      <c r="F173" s="3">
        <v>6917.33</v>
      </c>
      <c r="G173" s="3">
        <v>27669.32</v>
      </c>
      <c r="H173" s="3">
        <v>15334.54</v>
      </c>
      <c r="I173" s="3">
        <v>12334.78</v>
      </c>
      <c r="J173" t="s">
        <v>14</v>
      </c>
      <c r="K173" t="s">
        <v>46</v>
      </c>
      <c r="L173">
        <f>tblRawBusinessData3[[#This Row],[Quantity]]*tblRawBusinessData3[[#This Row],[Unit_Price]]-tblRawBusinessData3[[#This Row],[Revenue]]</f>
        <v>0</v>
      </c>
      <c r="M173" s="3">
        <f t="shared" si="35"/>
        <v>0</v>
      </c>
      <c r="N173" s="3" t="str">
        <f t="shared" si="36"/>
        <v>Valid</v>
      </c>
      <c r="O173" s="3" t="str">
        <f t="shared" si="37"/>
        <v>Oct</v>
      </c>
      <c r="P173" s="3" t="str">
        <f t="shared" si="38"/>
        <v>Q4</v>
      </c>
      <c r="Q173">
        <f t="shared" si="39"/>
        <v>2025</v>
      </c>
      <c r="R173" s="4">
        <f t="shared" si="40"/>
        <v>0.44579266855853344</v>
      </c>
      <c r="S173" s="3" t="str">
        <f t="shared" si="41"/>
        <v>Medium</v>
      </c>
    </row>
    <row r="174" spans="1:19" x14ac:dyDescent="0.25">
      <c r="A174" s="1">
        <v>45953</v>
      </c>
      <c r="B174" t="s">
        <v>41</v>
      </c>
      <c r="C174" t="s">
        <v>12</v>
      </c>
      <c r="D174" t="s">
        <v>13</v>
      </c>
      <c r="E174" s="2">
        <v>1</v>
      </c>
      <c r="F174" s="3">
        <v>10767.82</v>
      </c>
      <c r="G174" s="3">
        <v>10767.82</v>
      </c>
      <c r="H174" s="3">
        <v>6729.03</v>
      </c>
      <c r="I174" s="3">
        <v>4038.79</v>
      </c>
      <c r="J174" t="s">
        <v>27</v>
      </c>
      <c r="K174" t="s">
        <v>15</v>
      </c>
      <c r="L174">
        <f>tblRawBusinessData3[[#This Row],[Quantity]]*tblRawBusinessData3[[#This Row],[Unit_Price]]-tblRawBusinessData3[[#This Row],[Revenue]]</f>
        <v>0</v>
      </c>
      <c r="M174" s="3">
        <f t="shared" si="35"/>
        <v>0</v>
      </c>
      <c r="N174" s="3" t="str">
        <f t="shared" si="36"/>
        <v>Valid</v>
      </c>
      <c r="O174" s="3" t="str">
        <f t="shared" si="37"/>
        <v>Oct</v>
      </c>
      <c r="P174" s="3" t="str">
        <f t="shared" si="38"/>
        <v>Q4</v>
      </c>
      <c r="Q174">
        <f t="shared" si="39"/>
        <v>2025</v>
      </c>
      <c r="R174" s="4">
        <f t="shared" si="40"/>
        <v>0.37507963543224165</v>
      </c>
      <c r="S174" s="3" t="str">
        <f t="shared" si="41"/>
        <v>Medium</v>
      </c>
    </row>
    <row r="175" spans="1:19" x14ac:dyDescent="0.25">
      <c r="A175" s="1">
        <v>45955</v>
      </c>
      <c r="B175" t="s">
        <v>39</v>
      </c>
      <c r="C175" t="s">
        <v>37</v>
      </c>
      <c r="D175" t="s">
        <v>45</v>
      </c>
      <c r="E175" s="2">
        <v>1</v>
      </c>
      <c r="F175" s="3">
        <v>20332.39</v>
      </c>
      <c r="G175" s="3">
        <v>20332.39</v>
      </c>
      <c r="H175" s="3">
        <v>8264.18</v>
      </c>
      <c r="I175" s="3">
        <v>12068.21</v>
      </c>
      <c r="J175" t="s">
        <v>32</v>
      </c>
      <c r="K175" t="s">
        <v>46</v>
      </c>
      <c r="L175">
        <f>tblRawBusinessData3[[#This Row],[Quantity]]*tblRawBusinessData3[[#This Row],[Unit_Price]]-tblRawBusinessData3[[#This Row],[Revenue]]</f>
        <v>0</v>
      </c>
      <c r="M175" s="3">
        <f t="shared" si="35"/>
        <v>0</v>
      </c>
      <c r="N175" s="3" t="str">
        <f t="shared" si="36"/>
        <v>Valid</v>
      </c>
      <c r="O175" s="3" t="str">
        <f t="shared" si="37"/>
        <v>Oct</v>
      </c>
      <c r="P175" s="3" t="str">
        <f t="shared" si="38"/>
        <v>Q4</v>
      </c>
      <c r="Q175">
        <f t="shared" si="39"/>
        <v>2025</v>
      </c>
      <c r="R175" s="4">
        <f t="shared" si="40"/>
        <v>0.59354606123529996</v>
      </c>
      <c r="S175" s="3" t="str">
        <f t="shared" si="41"/>
        <v>Medium</v>
      </c>
    </row>
    <row r="176" spans="1:19" x14ac:dyDescent="0.25">
      <c r="A176" s="1">
        <v>45956</v>
      </c>
      <c r="B176" t="s">
        <v>51</v>
      </c>
      <c r="C176" t="s">
        <v>21</v>
      </c>
      <c r="D176" t="s">
        <v>40</v>
      </c>
      <c r="E176" s="2">
        <v>4</v>
      </c>
      <c r="F176" s="3">
        <v>25054.55</v>
      </c>
      <c r="G176" s="3">
        <v>100218.2</v>
      </c>
      <c r="H176" s="3">
        <v>74196.259999999995</v>
      </c>
      <c r="I176" s="3">
        <v>26021.94</v>
      </c>
      <c r="J176" t="s">
        <v>32</v>
      </c>
      <c r="K176" t="s">
        <v>30</v>
      </c>
      <c r="L176">
        <f>tblRawBusinessData3[[#This Row],[Quantity]]*tblRawBusinessData3[[#This Row],[Unit_Price]]-tblRawBusinessData3[[#This Row],[Revenue]]</f>
        <v>0</v>
      </c>
      <c r="M176" s="3">
        <f t="shared" si="35"/>
        <v>0</v>
      </c>
      <c r="N176" s="3" t="str">
        <f t="shared" si="36"/>
        <v>Valid</v>
      </c>
      <c r="O176" s="3" t="str">
        <f t="shared" si="37"/>
        <v>Oct</v>
      </c>
      <c r="P176" s="3" t="str">
        <f t="shared" si="38"/>
        <v>Q4</v>
      </c>
      <c r="Q176">
        <f t="shared" si="39"/>
        <v>2025</v>
      </c>
      <c r="R176" s="4">
        <f t="shared" si="40"/>
        <v>0.25965283750855633</v>
      </c>
      <c r="S176" s="3" t="str">
        <f t="shared" si="41"/>
        <v>Large</v>
      </c>
    </row>
    <row r="177" spans="1:19" x14ac:dyDescent="0.25">
      <c r="A177" s="1">
        <v>45958</v>
      </c>
      <c r="B177" t="s">
        <v>11</v>
      </c>
      <c r="C177" t="s">
        <v>12</v>
      </c>
      <c r="D177" t="s">
        <v>48</v>
      </c>
      <c r="E177" s="2">
        <v>3</v>
      </c>
      <c r="F177" s="3">
        <v>14038.81</v>
      </c>
      <c r="G177" s="3">
        <v>42116.43</v>
      </c>
      <c r="H177" s="3">
        <v>25156.39</v>
      </c>
      <c r="I177" s="3">
        <v>16960.04</v>
      </c>
      <c r="J177" t="s">
        <v>14</v>
      </c>
      <c r="K177" t="s">
        <v>15</v>
      </c>
      <c r="L177">
        <f>tblRawBusinessData3[[#This Row],[Quantity]]*tblRawBusinessData3[[#This Row],[Unit_Price]]-tblRawBusinessData3[[#This Row],[Revenue]]</f>
        <v>0</v>
      </c>
      <c r="M177" s="3">
        <f t="shared" si="35"/>
        <v>0</v>
      </c>
      <c r="N177" s="3" t="str">
        <f t="shared" si="36"/>
        <v>Valid</v>
      </c>
      <c r="O177" s="3" t="str">
        <f t="shared" si="37"/>
        <v>Oct</v>
      </c>
      <c r="P177" s="3" t="str">
        <f t="shared" si="38"/>
        <v>Q4</v>
      </c>
      <c r="Q177">
        <f t="shared" si="39"/>
        <v>2025</v>
      </c>
      <c r="R177" s="4">
        <f t="shared" si="40"/>
        <v>0.40269415047761647</v>
      </c>
      <c r="S177" s="3" t="str">
        <f t="shared" si="41"/>
        <v>Large</v>
      </c>
    </row>
    <row r="178" spans="1:19" x14ac:dyDescent="0.25">
      <c r="A178" s="1">
        <v>45966</v>
      </c>
      <c r="B178" t="s">
        <v>43</v>
      </c>
      <c r="C178" t="s">
        <v>21</v>
      </c>
      <c r="D178" t="s">
        <v>54</v>
      </c>
      <c r="E178" s="2">
        <v>2</v>
      </c>
      <c r="F178" s="3">
        <v>7419.77</v>
      </c>
      <c r="G178" s="3">
        <v>14839.54</v>
      </c>
      <c r="H178" s="3">
        <v>10618.53</v>
      </c>
      <c r="I178" s="3">
        <v>4221.01</v>
      </c>
      <c r="J178" t="s">
        <v>14</v>
      </c>
      <c r="K178" t="s">
        <v>15</v>
      </c>
      <c r="L178">
        <f>tblRawBusinessData3[[#This Row],[Quantity]]*tblRawBusinessData3[[#This Row],[Unit_Price]]-tblRawBusinessData3[[#This Row],[Revenue]]</f>
        <v>0</v>
      </c>
      <c r="M178" s="3">
        <f t="shared" si="35"/>
        <v>0</v>
      </c>
      <c r="N178" s="3" t="str">
        <f t="shared" si="36"/>
        <v>Valid</v>
      </c>
      <c r="O178" s="3" t="str">
        <f t="shared" si="37"/>
        <v>Nov</v>
      </c>
      <c r="P178" s="3" t="str">
        <f t="shared" si="38"/>
        <v>Q4</v>
      </c>
      <c r="Q178">
        <f t="shared" si="39"/>
        <v>2025</v>
      </c>
      <c r="R178" s="4">
        <f t="shared" si="40"/>
        <v>0.28444345309895053</v>
      </c>
      <c r="S178" s="3" t="str">
        <f t="shared" si="41"/>
        <v>Medium</v>
      </c>
    </row>
    <row r="179" spans="1:19" x14ac:dyDescent="0.25">
      <c r="A179" s="1">
        <v>45966</v>
      </c>
      <c r="B179" t="s">
        <v>11</v>
      </c>
      <c r="C179" t="s">
        <v>12</v>
      </c>
      <c r="D179" t="s">
        <v>48</v>
      </c>
      <c r="E179" s="2">
        <v>1</v>
      </c>
      <c r="F179" s="3">
        <v>27025.96</v>
      </c>
      <c r="G179" s="3">
        <v>27025.96</v>
      </c>
      <c r="H179" s="3">
        <v>14047.74</v>
      </c>
      <c r="I179" s="3">
        <v>12978.22</v>
      </c>
      <c r="J179" t="s">
        <v>27</v>
      </c>
      <c r="K179" t="s">
        <v>15</v>
      </c>
      <c r="L179">
        <f>tblRawBusinessData3[[#This Row],[Quantity]]*tblRawBusinessData3[[#This Row],[Unit_Price]]-tblRawBusinessData3[[#This Row],[Revenue]]</f>
        <v>0</v>
      </c>
      <c r="M179" s="3">
        <f t="shared" si="35"/>
        <v>0</v>
      </c>
      <c r="N179" s="3" t="str">
        <f t="shared" si="36"/>
        <v>Valid</v>
      </c>
      <c r="O179" s="3" t="str">
        <f t="shared" si="37"/>
        <v>Nov</v>
      </c>
      <c r="P179" s="3" t="str">
        <f t="shared" si="38"/>
        <v>Q4</v>
      </c>
      <c r="Q179">
        <f t="shared" si="39"/>
        <v>2025</v>
      </c>
      <c r="R179" s="4">
        <f t="shared" si="40"/>
        <v>0.48021309881314111</v>
      </c>
      <c r="S179" s="3" t="str">
        <f t="shared" si="41"/>
        <v>Medium</v>
      </c>
    </row>
    <row r="180" spans="1:19" x14ac:dyDescent="0.25">
      <c r="A180" s="1">
        <v>45967</v>
      </c>
      <c r="B180" t="s">
        <v>39</v>
      </c>
      <c r="C180" t="s">
        <v>25</v>
      </c>
      <c r="D180" t="s">
        <v>31</v>
      </c>
      <c r="E180" s="2">
        <v>1</v>
      </c>
      <c r="F180" s="3">
        <v>27180.18</v>
      </c>
      <c r="G180" s="3">
        <v>27180.18</v>
      </c>
      <c r="H180" s="3">
        <v>14924.01</v>
      </c>
      <c r="I180" s="3">
        <v>12256.17</v>
      </c>
      <c r="J180" t="s">
        <v>27</v>
      </c>
      <c r="K180" t="s">
        <v>19</v>
      </c>
      <c r="L180">
        <f>tblRawBusinessData3[[#This Row],[Quantity]]*tblRawBusinessData3[[#This Row],[Unit_Price]]-tblRawBusinessData3[[#This Row],[Revenue]]</f>
        <v>0</v>
      </c>
      <c r="M180" s="3">
        <f t="shared" si="35"/>
        <v>0</v>
      </c>
      <c r="N180" s="3" t="str">
        <f t="shared" si="36"/>
        <v>Valid</v>
      </c>
      <c r="O180" s="3" t="str">
        <f t="shared" si="37"/>
        <v>Nov</v>
      </c>
      <c r="P180" s="3" t="str">
        <f t="shared" si="38"/>
        <v>Q4</v>
      </c>
      <c r="Q180">
        <f t="shared" si="39"/>
        <v>2025</v>
      </c>
      <c r="R180" s="4">
        <f t="shared" si="40"/>
        <v>0.4509230623196756</v>
      </c>
      <c r="S180" s="3" t="str">
        <f t="shared" si="41"/>
        <v>Medium</v>
      </c>
    </row>
    <row r="181" spans="1:19" x14ac:dyDescent="0.25">
      <c r="A181" s="1">
        <v>45970</v>
      </c>
      <c r="B181" t="s">
        <v>41</v>
      </c>
      <c r="C181" t="s">
        <v>25</v>
      </c>
      <c r="D181" t="s">
        <v>28</v>
      </c>
      <c r="E181" s="2">
        <v>1</v>
      </c>
      <c r="F181" s="3">
        <v>31159.46</v>
      </c>
      <c r="G181" s="3">
        <v>31159.46</v>
      </c>
      <c r="H181" s="3">
        <v>20151.14</v>
      </c>
      <c r="I181" s="3">
        <v>11008.32</v>
      </c>
      <c r="J181" t="s">
        <v>14</v>
      </c>
      <c r="K181" t="s">
        <v>30</v>
      </c>
      <c r="L181">
        <f>tblRawBusinessData3[[#This Row],[Quantity]]*tblRawBusinessData3[[#This Row],[Unit_Price]]-tblRawBusinessData3[[#This Row],[Revenue]]</f>
        <v>0</v>
      </c>
      <c r="M181" s="3">
        <f t="shared" si="35"/>
        <v>0</v>
      </c>
      <c r="N181" s="3" t="str">
        <f t="shared" si="36"/>
        <v>Valid</v>
      </c>
      <c r="O181" s="3" t="str">
        <f t="shared" si="37"/>
        <v>Nov</v>
      </c>
      <c r="P181" s="3" t="str">
        <f t="shared" si="38"/>
        <v>Q4</v>
      </c>
      <c r="Q181">
        <f t="shared" si="39"/>
        <v>2025</v>
      </c>
      <c r="R181" s="4">
        <f t="shared" si="40"/>
        <v>0.353289819528323</v>
      </c>
      <c r="S181" s="3" t="str">
        <f t="shared" si="41"/>
        <v>Large</v>
      </c>
    </row>
    <row r="182" spans="1:19" x14ac:dyDescent="0.25">
      <c r="A182" s="1">
        <v>45975</v>
      </c>
      <c r="B182" t="s">
        <v>50</v>
      </c>
      <c r="C182" t="s">
        <v>25</v>
      </c>
      <c r="D182" t="s">
        <v>31</v>
      </c>
      <c r="E182" s="2">
        <v>2</v>
      </c>
      <c r="F182" s="3">
        <v>24291.03</v>
      </c>
      <c r="G182" s="3">
        <v>48582.06</v>
      </c>
      <c r="H182" s="3">
        <v>30629.15</v>
      </c>
      <c r="I182" s="3">
        <v>17952.91</v>
      </c>
      <c r="J182" t="s">
        <v>18</v>
      </c>
      <c r="K182" t="s">
        <v>19</v>
      </c>
      <c r="L182">
        <f>tblRawBusinessData3[[#This Row],[Quantity]]*tblRawBusinessData3[[#This Row],[Unit_Price]]-tblRawBusinessData3[[#This Row],[Revenue]]</f>
        <v>0</v>
      </c>
      <c r="M182" s="3">
        <f t="shared" si="35"/>
        <v>0</v>
      </c>
      <c r="N182" s="3" t="str">
        <f t="shared" si="36"/>
        <v>Valid</v>
      </c>
      <c r="O182" s="3" t="str">
        <f t="shared" si="37"/>
        <v>Nov</v>
      </c>
      <c r="P182" s="3" t="str">
        <f t="shared" si="38"/>
        <v>Q4</v>
      </c>
      <c r="Q182">
        <f t="shared" si="39"/>
        <v>2025</v>
      </c>
      <c r="R182" s="4">
        <f t="shared" si="40"/>
        <v>0.36953784998001321</v>
      </c>
      <c r="S182" s="3" t="str">
        <f t="shared" si="41"/>
        <v>Large</v>
      </c>
    </row>
    <row r="183" spans="1:19" x14ac:dyDescent="0.25">
      <c r="A183" s="1">
        <v>45975</v>
      </c>
      <c r="B183" t="s">
        <v>11</v>
      </c>
      <c r="C183" t="s">
        <v>25</v>
      </c>
      <c r="D183" t="s">
        <v>28</v>
      </c>
      <c r="E183" s="2">
        <v>1</v>
      </c>
      <c r="F183" s="3">
        <v>24771.1</v>
      </c>
      <c r="G183" s="3">
        <v>24771.1</v>
      </c>
      <c r="H183" s="3">
        <v>15672.33</v>
      </c>
      <c r="I183" s="3">
        <v>9098.77</v>
      </c>
      <c r="J183" t="s">
        <v>32</v>
      </c>
      <c r="K183" t="s">
        <v>19</v>
      </c>
      <c r="L183">
        <f>tblRawBusinessData3[[#This Row],[Quantity]]*tblRawBusinessData3[[#This Row],[Unit_Price]]-tblRawBusinessData3[[#This Row],[Revenue]]</f>
        <v>0</v>
      </c>
      <c r="M183" s="3">
        <f t="shared" si="35"/>
        <v>0</v>
      </c>
      <c r="N183" s="3" t="str">
        <f t="shared" si="36"/>
        <v>Valid</v>
      </c>
      <c r="O183" s="3" t="str">
        <f t="shared" si="37"/>
        <v>Nov</v>
      </c>
      <c r="P183" s="3" t="str">
        <f t="shared" si="38"/>
        <v>Q4</v>
      </c>
      <c r="Q183">
        <f t="shared" si="39"/>
        <v>2025</v>
      </c>
      <c r="R183" s="4">
        <f t="shared" si="40"/>
        <v>0.36731392630928789</v>
      </c>
      <c r="S183" s="3" t="str">
        <f t="shared" si="41"/>
        <v>Medium</v>
      </c>
    </row>
    <row r="184" spans="1:19" x14ac:dyDescent="0.25">
      <c r="A184" s="1">
        <v>45976</v>
      </c>
      <c r="B184" t="s">
        <v>55</v>
      </c>
      <c r="C184" t="s">
        <v>34</v>
      </c>
      <c r="D184" t="s">
        <v>49</v>
      </c>
      <c r="E184" s="2">
        <v>2</v>
      </c>
      <c r="F184" s="3">
        <v>2386.9699999999998</v>
      </c>
      <c r="G184" s="3">
        <v>4773.9399999999996</v>
      </c>
      <c r="H184" s="3">
        <v>4018.99</v>
      </c>
      <c r="I184" s="3">
        <v>754.95</v>
      </c>
      <c r="J184" t="s">
        <v>32</v>
      </c>
      <c r="K184" t="s">
        <v>15</v>
      </c>
      <c r="L184">
        <f>tblRawBusinessData3[[#This Row],[Quantity]]*tblRawBusinessData3[[#This Row],[Unit_Price]]-tblRawBusinessData3[[#This Row],[Revenue]]</f>
        <v>0</v>
      </c>
      <c r="M184" s="3">
        <f t="shared" si="35"/>
        <v>0</v>
      </c>
      <c r="N184" s="3" t="str">
        <f t="shared" si="36"/>
        <v>Valid</v>
      </c>
      <c r="O184" s="3" t="str">
        <f t="shared" si="37"/>
        <v>Nov</v>
      </c>
      <c r="P184" s="3" t="str">
        <f t="shared" si="38"/>
        <v>Q4</v>
      </c>
      <c r="Q184">
        <f t="shared" si="39"/>
        <v>2025</v>
      </c>
      <c r="R184" s="4">
        <f t="shared" si="40"/>
        <v>0.15813981742543898</v>
      </c>
      <c r="S184" s="3" t="str">
        <f t="shared" si="41"/>
        <v>Small</v>
      </c>
    </row>
    <row r="185" spans="1:19" x14ac:dyDescent="0.25">
      <c r="A185" s="1">
        <v>45977</v>
      </c>
      <c r="B185" t="s">
        <v>50</v>
      </c>
      <c r="C185" t="s">
        <v>25</v>
      </c>
      <c r="D185" t="s">
        <v>31</v>
      </c>
      <c r="E185" s="2">
        <v>1</v>
      </c>
      <c r="F185" s="3">
        <v>6548.52</v>
      </c>
      <c r="G185" s="3">
        <v>6548.52</v>
      </c>
      <c r="H185" s="3">
        <v>3771.98</v>
      </c>
      <c r="I185" s="3">
        <v>2776.54</v>
      </c>
      <c r="J185" t="s">
        <v>18</v>
      </c>
      <c r="K185" t="s">
        <v>23</v>
      </c>
      <c r="L185">
        <f>tblRawBusinessData3[[#This Row],[Quantity]]*tblRawBusinessData3[[#This Row],[Unit_Price]]-tblRawBusinessData3[[#This Row],[Revenue]]</f>
        <v>0</v>
      </c>
      <c r="M185" s="3">
        <f t="shared" si="35"/>
        <v>0</v>
      </c>
      <c r="N185" s="3" t="str">
        <f t="shared" si="36"/>
        <v>Valid</v>
      </c>
      <c r="O185" s="3" t="str">
        <f t="shared" si="37"/>
        <v>Nov</v>
      </c>
      <c r="P185" s="3" t="str">
        <f t="shared" si="38"/>
        <v>Q4</v>
      </c>
      <c r="Q185">
        <f t="shared" si="39"/>
        <v>2025</v>
      </c>
      <c r="R185" s="4">
        <f t="shared" si="40"/>
        <v>0.42399504010066391</v>
      </c>
      <c r="S185" s="3" t="str">
        <f t="shared" si="41"/>
        <v>Small</v>
      </c>
    </row>
    <row r="186" spans="1:19" x14ac:dyDescent="0.25">
      <c r="A186" s="1">
        <v>45977</v>
      </c>
      <c r="B186" t="s">
        <v>44</v>
      </c>
      <c r="C186" t="s">
        <v>25</v>
      </c>
      <c r="D186" t="s">
        <v>31</v>
      </c>
      <c r="E186" s="2">
        <v>3</v>
      </c>
      <c r="F186" s="3">
        <v>20184.63</v>
      </c>
      <c r="G186" s="3">
        <v>60553.89</v>
      </c>
      <c r="H186" s="3">
        <v>31351.360000000001</v>
      </c>
      <c r="I186" s="3">
        <v>29202.53</v>
      </c>
      <c r="J186" t="s">
        <v>14</v>
      </c>
      <c r="K186" t="s">
        <v>19</v>
      </c>
      <c r="L186">
        <f>tblRawBusinessData3[[#This Row],[Quantity]]*tblRawBusinessData3[[#This Row],[Unit_Price]]-tblRawBusinessData3[[#This Row],[Revenue]]</f>
        <v>0</v>
      </c>
      <c r="M186" s="3">
        <f t="shared" si="35"/>
        <v>0</v>
      </c>
      <c r="N186" s="3" t="str">
        <f t="shared" si="36"/>
        <v>Valid</v>
      </c>
      <c r="O186" s="3" t="str">
        <f t="shared" si="37"/>
        <v>Nov</v>
      </c>
      <c r="P186" s="3" t="str">
        <f t="shared" si="38"/>
        <v>Q4</v>
      </c>
      <c r="Q186">
        <f t="shared" si="39"/>
        <v>2025</v>
      </c>
      <c r="R186" s="4">
        <f t="shared" si="40"/>
        <v>0.48225687895525787</v>
      </c>
      <c r="S186" s="3" t="str">
        <f t="shared" si="41"/>
        <v>Large</v>
      </c>
    </row>
    <row r="187" spans="1:19" x14ac:dyDescent="0.25">
      <c r="A187" s="1">
        <v>45979</v>
      </c>
      <c r="B187" t="s">
        <v>11</v>
      </c>
      <c r="C187" t="s">
        <v>12</v>
      </c>
      <c r="D187" t="s">
        <v>48</v>
      </c>
      <c r="E187" s="2">
        <v>2</v>
      </c>
      <c r="F187" s="3">
        <v>38078.92</v>
      </c>
      <c r="G187" s="3">
        <v>76157.84</v>
      </c>
      <c r="H187" s="3">
        <v>39917.120000000003</v>
      </c>
      <c r="I187" s="3">
        <v>36240.720000000001</v>
      </c>
      <c r="J187" t="s">
        <v>14</v>
      </c>
      <c r="K187" t="s">
        <v>15</v>
      </c>
      <c r="L187">
        <f>tblRawBusinessData3[[#This Row],[Quantity]]*tblRawBusinessData3[[#This Row],[Unit_Price]]-tblRawBusinessData3[[#This Row],[Revenue]]</f>
        <v>0</v>
      </c>
      <c r="M187" s="3">
        <f t="shared" si="35"/>
        <v>0</v>
      </c>
      <c r="N187" s="3" t="str">
        <f t="shared" si="36"/>
        <v>Valid</v>
      </c>
      <c r="O187" s="3" t="str">
        <f t="shared" si="37"/>
        <v>Nov</v>
      </c>
      <c r="P187" s="3" t="str">
        <f t="shared" si="38"/>
        <v>Q4</v>
      </c>
      <c r="Q187">
        <f t="shared" si="39"/>
        <v>2025</v>
      </c>
      <c r="R187" s="4">
        <f t="shared" si="40"/>
        <v>0.47586328603857464</v>
      </c>
      <c r="S187" s="3" t="str">
        <f t="shared" si="41"/>
        <v>Large</v>
      </c>
    </row>
    <row r="188" spans="1:19" x14ac:dyDescent="0.25">
      <c r="A188" s="1">
        <v>45980</v>
      </c>
      <c r="B188" t="s">
        <v>39</v>
      </c>
      <c r="C188" t="s">
        <v>25</v>
      </c>
      <c r="D188" t="s">
        <v>28</v>
      </c>
      <c r="E188" s="2">
        <v>2</v>
      </c>
      <c r="F188" s="3">
        <v>30131.08</v>
      </c>
      <c r="G188" s="3">
        <v>60262.16</v>
      </c>
      <c r="H188" s="3">
        <v>29340</v>
      </c>
      <c r="I188" s="3">
        <v>30922.16</v>
      </c>
      <c r="J188" t="s">
        <v>14</v>
      </c>
      <c r="K188" t="s">
        <v>19</v>
      </c>
      <c r="L188">
        <f>tblRawBusinessData3[[#This Row],[Quantity]]*tblRawBusinessData3[[#This Row],[Unit_Price]]-tblRawBusinessData3[[#This Row],[Revenue]]</f>
        <v>0</v>
      </c>
      <c r="M188" s="3">
        <f t="shared" si="35"/>
        <v>0</v>
      </c>
      <c r="N188" s="3" t="str">
        <f t="shared" si="36"/>
        <v>Valid</v>
      </c>
      <c r="O188" s="3" t="str">
        <f t="shared" si="37"/>
        <v>Nov</v>
      </c>
      <c r="P188" s="3" t="str">
        <f t="shared" si="38"/>
        <v>Q4</v>
      </c>
      <c r="Q188">
        <f t="shared" si="39"/>
        <v>2025</v>
      </c>
      <c r="R188" s="4">
        <f t="shared" si="40"/>
        <v>0.51312730907753723</v>
      </c>
      <c r="S188" s="3" t="str">
        <f t="shared" si="41"/>
        <v>Large</v>
      </c>
    </row>
    <row r="189" spans="1:19" x14ac:dyDescent="0.25">
      <c r="A189" s="1">
        <v>45980</v>
      </c>
      <c r="B189" t="s">
        <v>33</v>
      </c>
      <c r="C189" t="s">
        <v>21</v>
      </c>
      <c r="D189" t="s">
        <v>54</v>
      </c>
      <c r="E189" s="2">
        <v>6</v>
      </c>
      <c r="F189" s="3">
        <v>5100.04</v>
      </c>
      <c r="G189" s="3">
        <v>30600.240000000002</v>
      </c>
      <c r="H189" s="3">
        <v>23400.03</v>
      </c>
      <c r="I189" s="3">
        <v>7200.21</v>
      </c>
      <c r="J189" t="s">
        <v>32</v>
      </c>
      <c r="K189" t="s">
        <v>19</v>
      </c>
      <c r="L189">
        <f>tblRawBusinessData3[[#This Row],[Quantity]]*tblRawBusinessData3[[#This Row],[Unit_Price]]-tblRawBusinessData3[[#This Row],[Revenue]]</f>
        <v>0</v>
      </c>
      <c r="M189" s="3">
        <f t="shared" si="35"/>
        <v>0</v>
      </c>
      <c r="N189" s="3" t="str">
        <f t="shared" si="36"/>
        <v>Valid</v>
      </c>
      <c r="O189" s="3" t="str">
        <f t="shared" si="37"/>
        <v>Nov</v>
      </c>
      <c r="P189" s="3" t="str">
        <f t="shared" si="38"/>
        <v>Q4</v>
      </c>
      <c r="Q189">
        <f t="shared" si="39"/>
        <v>2025</v>
      </c>
      <c r="R189" s="4">
        <f t="shared" si="40"/>
        <v>0.23529913490874579</v>
      </c>
      <c r="S189" s="3" t="str">
        <f t="shared" si="41"/>
        <v>Large</v>
      </c>
    </row>
    <row r="190" spans="1:19" x14ac:dyDescent="0.25">
      <c r="A190" s="1">
        <v>45994</v>
      </c>
      <c r="B190" t="s">
        <v>16</v>
      </c>
      <c r="C190" t="s">
        <v>12</v>
      </c>
      <c r="D190" t="s">
        <v>17</v>
      </c>
      <c r="E190" s="2">
        <v>4</v>
      </c>
      <c r="F190" s="3">
        <v>7189.15</v>
      </c>
      <c r="G190" s="3">
        <v>28756.6</v>
      </c>
      <c r="H190" s="3">
        <v>15750.11</v>
      </c>
      <c r="I190" s="3">
        <v>13006.49</v>
      </c>
      <c r="J190" t="s">
        <v>29</v>
      </c>
      <c r="K190" t="s">
        <v>46</v>
      </c>
      <c r="L190">
        <f>tblRawBusinessData3[[#This Row],[Quantity]]*tblRawBusinessData3[[#This Row],[Unit_Price]]-tblRawBusinessData3[[#This Row],[Revenue]]</f>
        <v>0</v>
      </c>
      <c r="M190" s="3">
        <f t="shared" si="35"/>
        <v>0</v>
      </c>
      <c r="N190" s="3" t="str">
        <f t="shared" si="36"/>
        <v>Valid</v>
      </c>
      <c r="O190" s="3" t="str">
        <f t="shared" si="37"/>
        <v>Dec</v>
      </c>
      <c r="P190" s="3" t="str">
        <f t="shared" si="38"/>
        <v>Q4</v>
      </c>
      <c r="Q190">
        <f t="shared" si="39"/>
        <v>2025</v>
      </c>
      <c r="R190" s="4">
        <f t="shared" si="40"/>
        <v>0.45229582078548924</v>
      </c>
      <c r="S190" s="3" t="str">
        <f t="shared" si="41"/>
        <v>Medium</v>
      </c>
    </row>
    <row r="191" spans="1:19" x14ac:dyDescent="0.25">
      <c r="A191" s="1">
        <v>45995</v>
      </c>
      <c r="B191" t="s">
        <v>36</v>
      </c>
      <c r="C191" t="s">
        <v>25</v>
      </c>
      <c r="D191" t="s">
        <v>26</v>
      </c>
      <c r="E191" s="2">
        <v>2</v>
      </c>
      <c r="F191" s="3">
        <v>27990.09</v>
      </c>
      <c r="G191" s="3">
        <v>55980.18</v>
      </c>
      <c r="H191" s="3">
        <v>29122.85</v>
      </c>
      <c r="I191" s="3">
        <v>26857.33</v>
      </c>
      <c r="J191" t="s">
        <v>32</v>
      </c>
      <c r="K191" t="s">
        <v>30</v>
      </c>
      <c r="L191">
        <f>tblRawBusinessData3[[#This Row],[Quantity]]*tblRawBusinessData3[[#This Row],[Unit_Price]]-tblRawBusinessData3[[#This Row],[Revenue]]</f>
        <v>0</v>
      </c>
      <c r="M191" s="3">
        <f t="shared" si="35"/>
        <v>0</v>
      </c>
      <c r="N191" s="3" t="str">
        <f t="shared" si="36"/>
        <v>Valid</v>
      </c>
      <c r="O191" s="3" t="str">
        <f t="shared" si="37"/>
        <v>Dec</v>
      </c>
      <c r="P191" s="3" t="str">
        <f t="shared" si="38"/>
        <v>Q4</v>
      </c>
      <c r="Q191">
        <f t="shared" si="39"/>
        <v>2025</v>
      </c>
      <c r="R191" s="4">
        <f t="shared" si="40"/>
        <v>0.47976498110581284</v>
      </c>
      <c r="S191" s="3" t="str">
        <f t="shared" si="41"/>
        <v>Large</v>
      </c>
    </row>
    <row r="192" spans="1:19" x14ac:dyDescent="0.25">
      <c r="A192" s="1">
        <v>45996</v>
      </c>
      <c r="B192" t="s">
        <v>20</v>
      </c>
      <c r="C192" t="s">
        <v>37</v>
      </c>
      <c r="D192" t="s">
        <v>38</v>
      </c>
      <c r="E192" s="2">
        <v>3</v>
      </c>
      <c r="F192" s="3">
        <v>10827.3</v>
      </c>
      <c r="G192" s="3">
        <v>32481.9</v>
      </c>
      <c r="H192" s="3">
        <v>15423.64</v>
      </c>
      <c r="I192" s="3">
        <v>17058.259999999998</v>
      </c>
      <c r="J192" t="s">
        <v>32</v>
      </c>
      <c r="K192" t="s">
        <v>30</v>
      </c>
      <c r="L192">
        <f>tblRawBusinessData3[[#This Row],[Quantity]]*tblRawBusinessData3[[#This Row],[Unit_Price]]-tblRawBusinessData3[[#This Row],[Revenue]]</f>
        <v>0</v>
      </c>
      <c r="M192" s="3">
        <f t="shared" si="35"/>
        <v>0</v>
      </c>
      <c r="N192" s="3" t="str">
        <f t="shared" si="36"/>
        <v>Valid</v>
      </c>
      <c r="O192" s="3" t="str">
        <f t="shared" si="37"/>
        <v>Dec</v>
      </c>
      <c r="P192" s="3" t="str">
        <f t="shared" si="38"/>
        <v>Q4</v>
      </c>
      <c r="Q192">
        <f t="shared" si="39"/>
        <v>2025</v>
      </c>
      <c r="R192" s="4">
        <f t="shared" si="40"/>
        <v>0.52516201330587187</v>
      </c>
      <c r="S192" s="3" t="str">
        <f t="shared" si="41"/>
        <v>Large</v>
      </c>
    </row>
    <row r="193" spans="1:19" x14ac:dyDescent="0.25">
      <c r="A193" s="1">
        <v>45999</v>
      </c>
      <c r="B193" t="s">
        <v>39</v>
      </c>
      <c r="C193" t="s">
        <v>12</v>
      </c>
      <c r="D193" t="s">
        <v>17</v>
      </c>
      <c r="E193" s="2">
        <v>5</v>
      </c>
      <c r="F193" s="3">
        <v>4941.6499999999996</v>
      </c>
      <c r="G193" s="3">
        <v>24708.25</v>
      </c>
      <c r="H193" s="3">
        <v>15345.2</v>
      </c>
      <c r="I193" s="3">
        <v>9363.0499999999993</v>
      </c>
      <c r="J193" t="s">
        <v>32</v>
      </c>
      <c r="K193" t="s">
        <v>46</v>
      </c>
      <c r="L193">
        <f>tblRawBusinessData3[[#This Row],[Quantity]]*tblRawBusinessData3[[#This Row],[Unit_Price]]-tblRawBusinessData3[[#This Row],[Revenue]]</f>
        <v>0</v>
      </c>
      <c r="M193" s="3">
        <f t="shared" si="35"/>
        <v>0</v>
      </c>
      <c r="N193" s="3" t="str">
        <f t="shared" si="36"/>
        <v>Valid</v>
      </c>
      <c r="O193" s="3" t="str">
        <f t="shared" si="37"/>
        <v>Dec</v>
      </c>
      <c r="P193" s="3" t="str">
        <f t="shared" si="38"/>
        <v>Q4</v>
      </c>
      <c r="Q193">
        <f t="shared" si="39"/>
        <v>2025</v>
      </c>
      <c r="R193" s="4">
        <f t="shared" si="40"/>
        <v>0.37894427974461969</v>
      </c>
      <c r="S193" s="3" t="str">
        <f t="shared" si="41"/>
        <v>Medium</v>
      </c>
    </row>
    <row r="194" spans="1:19" x14ac:dyDescent="0.25">
      <c r="A194" s="1">
        <v>46006</v>
      </c>
      <c r="B194" t="s">
        <v>39</v>
      </c>
      <c r="C194" t="s">
        <v>12</v>
      </c>
      <c r="D194" t="s">
        <v>48</v>
      </c>
      <c r="E194" s="2">
        <v>2</v>
      </c>
      <c r="F194" s="3">
        <v>35321.85</v>
      </c>
      <c r="G194" s="3">
        <v>70643.7</v>
      </c>
      <c r="H194" s="3">
        <v>36466.9</v>
      </c>
      <c r="I194" s="3">
        <v>34176.800000000003</v>
      </c>
      <c r="J194" t="s">
        <v>32</v>
      </c>
      <c r="K194" t="s">
        <v>30</v>
      </c>
      <c r="L194">
        <f>tblRawBusinessData3[[#This Row],[Quantity]]*tblRawBusinessData3[[#This Row],[Unit_Price]]-tblRawBusinessData3[[#This Row],[Revenue]]</f>
        <v>0</v>
      </c>
      <c r="M194" s="3">
        <f t="shared" ref="M194:M201" si="42">G194-H194-I194</f>
        <v>0</v>
      </c>
      <c r="N194" s="3" t="str">
        <f t="shared" ref="N194:N201" si="43">IF(H194&lt;G194,"Valid","Check")</f>
        <v>Valid</v>
      </c>
      <c r="O194" s="3" t="str">
        <f t="shared" ref="O194:O201" si="44">TEXT(A194,"mmm")</f>
        <v>Dec</v>
      </c>
      <c r="P194" s="3" t="str">
        <f t="shared" ref="P194:P201" si="45">"Q"&amp;ROUNDUP(MONTH(A194)/3,0)</f>
        <v>Q4</v>
      </c>
      <c r="Q194">
        <f t="shared" ref="Q194:Q201" si="46">YEAR(A194)</f>
        <v>2025</v>
      </c>
      <c r="R194" s="4">
        <f t="shared" ref="R194:R201" si="47">I194/G194</f>
        <v>0.48379119440233176</v>
      </c>
      <c r="S194" s="3" t="str">
        <f t="shared" ref="S194:S201" si="48">IF(G194&lt;10000,"Small",IF(G194&lt;30000,"Medium","Large"))</f>
        <v>Large</v>
      </c>
    </row>
    <row r="195" spans="1:19" x14ac:dyDescent="0.25">
      <c r="A195" s="1">
        <v>46006</v>
      </c>
      <c r="B195" t="s">
        <v>11</v>
      </c>
      <c r="C195" t="s">
        <v>12</v>
      </c>
      <c r="D195" t="s">
        <v>17</v>
      </c>
      <c r="E195" s="2">
        <v>3</v>
      </c>
      <c r="F195" s="3">
        <v>7493.16</v>
      </c>
      <c r="G195" s="3">
        <v>22479.48</v>
      </c>
      <c r="H195" s="3">
        <v>13696.85</v>
      </c>
      <c r="I195" s="3">
        <v>8782.6299999999992</v>
      </c>
      <c r="J195" t="s">
        <v>18</v>
      </c>
      <c r="K195" t="s">
        <v>15</v>
      </c>
      <c r="L195">
        <f>tblRawBusinessData3[[#This Row],[Quantity]]*tblRawBusinessData3[[#This Row],[Unit_Price]]-tblRawBusinessData3[[#This Row],[Revenue]]</f>
        <v>0</v>
      </c>
      <c r="M195" s="3">
        <f t="shared" si="42"/>
        <v>0</v>
      </c>
      <c r="N195" s="3" t="str">
        <f t="shared" si="43"/>
        <v>Valid</v>
      </c>
      <c r="O195" s="3" t="str">
        <f t="shared" si="44"/>
        <v>Dec</v>
      </c>
      <c r="P195" s="3" t="str">
        <f t="shared" si="45"/>
        <v>Q4</v>
      </c>
      <c r="Q195">
        <f t="shared" si="46"/>
        <v>2025</v>
      </c>
      <c r="R195" s="4">
        <f t="shared" si="47"/>
        <v>0.3906954253390203</v>
      </c>
      <c r="S195" s="3" t="str">
        <f t="shared" si="48"/>
        <v>Medium</v>
      </c>
    </row>
    <row r="196" spans="1:19" x14ac:dyDescent="0.25">
      <c r="A196" s="1">
        <v>46008</v>
      </c>
      <c r="B196" t="s">
        <v>24</v>
      </c>
      <c r="C196" t="s">
        <v>34</v>
      </c>
      <c r="D196" t="s">
        <v>52</v>
      </c>
      <c r="E196" s="2">
        <v>6</v>
      </c>
      <c r="F196" s="3">
        <v>2079.66</v>
      </c>
      <c r="G196" s="3">
        <v>12477.96</v>
      </c>
      <c r="H196" s="3">
        <v>10192.85</v>
      </c>
      <c r="I196" s="3">
        <v>2285.11</v>
      </c>
      <c r="J196" t="s">
        <v>14</v>
      </c>
      <c r="K196" t="s">
        <v>23</v>
      </c>
      <c r="L196">
        <f>tblRawBusinessData3[[#This Row],[Quantity]]*tblRawBusinessData3[[#This Row],[Unit_Price]]-tblRawBusinessData3[[#This Row],[Revenue]]</f>
        <v>0</v>
      </c>
      <c r="M196" s="3">
        <f t="shared" si="42"/>
        <v>0</v>
      </c>
      <c r="N196" s="3" t="str">
        <f t="shared" si="43"/>
        <v>Valid</v>
      </c>
      <c r="O196" s="3" t="str">
        <f t="shared" si="44"/>
        <v>Dec</v>
      </c>
      <c r="P196" s="3" t="str">
        <f t="shared" si="45"/>
        <v>Q4</v>
      </c>
      <c r="Q196">
        <f t="shared" si="46"/>
        <v>2025</v>
      </c>
      <c r="R196" s="4">
        <f t="shared" si="47"/>
        <v>0.18313169780957786</v>
      </c>
      <c r="S196" s="3" t="str">
        <f t="shared" si="48"/>
        <v>Medium</v>
      </c>
    </row>
    <row r="197" spans="1:19" x14ac:dyDescent="0.25">
      <c r="A197" s="1">
        <v>46008</v>
      </c>
      <c r="B197" t="s">
        <v>24</v>
      </c>
      <c r="C197" t="s">
        <v>34</v>
      </c>
      <c r="D197" t="s">
        <v>52</v>
      </c>
      <c r="E197" s="2">
        <v>6</v>
      </c>
      <c r="F197" s="3">
        <v>3033.43</v>
      </c>
      <c r="G197" s="3">
        <v>18200.580000000002</v>
      </c>
      <c r="H197" s="3">
        <v>13928.07</v>
      </c>
      <c r="I197" s="3">
        <v>4272.51</v>
      </c>
      <c r="J197" t="s">
        <v>32</v>
      </c>
      <c r="K197" t="s">
        <v>30</v>
      </c>
      <c r="L197">
        <f>tblRawBusinessData3[[#This Row],[Quantity]]*tblRawBusinessData3[[#This Row],[Unit_Price]]-tblRawBusinessData3[[#This Row],[Revenue]]</f>
        <v>0</v>
      </c>
      <c r="M197" s="3">
        <f t="shared" si="42"/>
        <v>0</v>
      </c>
      <c r="N197" s="3" t="str">
        <f t="shared" si="43"/>
        <v>Valid</v>
      </c>
      <c r="O197" s="3" t="str">
        <f t="shared" si="44"/>
        <v>Dec</v>
      </c>
      <c r="P197" s="3" t="str">
        <f t="shared" si="45"/>
        <v>Q4</v>
      </c>
      <c r="Q197">
        <f t="shared" si="46"/>
        <v>2025</v>
      </c>
      <c r="R197" s="4">
        <f t="shared" si="47"/>
        <v>0.23474581579268353</v>
      </c>
      <c r="S197" s="3" t="str">
        <f t="shared" si="48"/>
        <v>Medium</v>
      </c>
    </row>
    <row r="198" spans="1:19" x14ac:dyDescent="0.25">
      <c r="A198" s="1">
        <v>46015</v>
      </c>
      <c r="B198" t="s">
        <v>50</v>
      </c>
      <c r="C198" t="s">
        <v>25</v>
      </c>
      <c r="D198" t="s">
        <v>28</v>
      </c>
      <c r="E198" s="2">
        <v>1</v>
      </c>
      <c r="F198" s="3">
        <v>13063.17</v>
      </c>
      <c r="G198" s="3">
        <v>13063.17</v>
      </c>
      <c r="H198" s="3">
        <v>7603.28</v>
      </c>
      <c r="I198" s="3">
        <v>5459.89</v>
      </c>
      <c r="J198" t="s">
        <v>29</v>
      </c>
      <c r="K198" t="s">
        <v>19</v>
      </c>
      <c r="L198">
        <f>tblRawBusinessData3[[#This Row],[Quantity]]*tblRawBusinessData3[[#This Row],[Unit_Price]]-tblRawBusinessData3[[#This Row],[Revenue]]</f>
        <v>0</v>
      </c>
      <c r="M198" s="3">
        <f t="shared" si="42"/>
        <v>0</v>
      </c>
      <c r="N198" s="3" t="str">
        <f t="shared" si="43"/>
        <v>Valid</v>
      </c>
      <c r="O198" s="3" t="str">
        <f t="shared" si="44"/>
        <v>Dec</v>
      </c>
      <c r="P198" s="3" t="str">
        <f t="shared" si="45"/>
        <v>Q4</v>
      </c>
      <c r="Q198">
        <f t="shared" si="46"/>
        <v>2025</v>
      </c>
      <c r="R198" s="4">
        <f t="shared" si="47"/>
        <v>0.41796057159173466</v>
      </c>
      <c r="S198" s="3" t="str">
        <f t="shared" si="48"/>
        <v>Medium</v>
      </c>
    </row>
    <row r="199" spans="1:19" x14ac:dyDescent="0.25">
      <c r="A199" s="1">
        <v>46017</v>
      </c>
      <c r="B199" t="s">
        <v>42</v>
      </c>
      <c r="C199" t="s">
        <v>21</v>
      </c>
      <c r="D199" t="s">
        <v>54</v>
      </c>
      <c r="E199" s="2">
        <v>6</v>
      </c>
      <c r="F199" s="3">
        <v>13811.03</v>
      </c>
      <c r="G199" s="3">
        <v>82866.179999999993</v>
      </c>
      <c r="H199" s="3">
        <v>64096.79</v>
      </c>
      <c r="I199" s="3">
        <v>18769.39</v>
      </c>
      <c r="J199" t="s">
        <v>18</v>
      </c>
      <c r="K199" t="s">
        <v>30</v>
      </c>
      <c r="L199">
        <f>tblRawBusinessData3[[#This Row],[Quantity]]*tblRawBusinessData3[[#This Row],[Unit_Price]]-tblRawBusinessData3[[#This Row],[Revenue]]</f>
        <v>0</v>
      </c>
      <c r="M199" s="3">
        <f t="shared" si="42"/>
        <v>0</v>
      </c>
      <c r="N199" s="3" t="str">
        <f t="shared" si="43"/>
        <v>Valid</v>
      </c>
      <c r="O199" s="3" t="str">
        <f t="shared" si="44"/>
        <v>Dec</v>
      </c>
      <c r="P199" s="3" t="str">
        <f t="shared" si="45"/>
        <v>Q4</v>
      </c>
      <c r="Q199">
        <f t="shared" si="46"/>
        <v>2025</v>
      </c>
      <c r="R199" s="4">
        <f t="shared" si="47"/>
        <v>0.22650241630542159</v>
      </c>
      <c r="S199" s="3" t="str">
        <f t="shared" si="48"/>
        <v>Large</v>
      </c>
    </row>
    <row r="200" spans="1:19" x14ac:dyDescent="0.25">
      <c r="A200" s="1">
        <v>46018</v>
      </c>
      <c r="B200" t="s">
        <v>39</v>
      </c>
      <c r="C200" t="s">
        <v>25</v>
      </c>
      <c r="D200" t="s">
        <v>26</v>
      </c>
      <c r="E200" s="2">
        <v>1</v>
      </c>
      <c r="F200" s="3">
        <v>25033.89</v>
      </c>
      <c r="G200" s="3">
        <v>25033.89</v>
      </c>
      <c r="H200" s="3">
        <v>15524.56</v>
      </c>
      <c r="I200" s="3">
        <v>9509.33</v>
      </c>
      <c r="J200" t="s">
        <v>14</v>
      </c>
      <c r="K200" t="s">
        <v>23</v>
      </c>
      <c r="L200">
        <f>tblRawBusinessData3[[#This Row],[Quantity]]*tblRawBusinessData3[[#This Row],[Unit_Price]]-tblRawBusinessData3[[#This Row],[Revenue]]</f>
        <v>0</v>
      </c>
      <c r="M200" s="3">
        <f t="shared" si="42"/>
        <v>0</v>
      </c>
      <c r="N200" s="3" t="str">
        <f t="shared" si="43"/>
        <v>Valid</v>
      </c>
      <c r="O200" s="3" t="str">
        <f t="shared" si="44"/>
        <v>Dec</v>
      </c>
      <c r="P200" s="3" t="str">
        <f t="shared" si="45"/>
        <v>Q4</v>
      </c>
      <c r="Q200">
        <f t="shared" si="46"/>
        <v>2025</v>
      </c>
      <c r="R200" s="4">
        <f t="shared" si="47"/>
        <v>0.37985826413713569</v>
      </c>
      <c r="S200" s="3" t="str">
        <f t="shared" si="48"/>
        <v>Medium</v>
      </c>
    </row>
    <row r="201" spans="1:19" x14ac:dyDescent="0.25">
      <c r="A201" s="1">
        <v>46021</v>
      </c>
      <c r="B201" t="s">
        <v>50</v>
      </c>
      <c r="C201" t="s">
        <v>34</v>
      </c>
      <c r="D201" t="s">
        <v>49</v>
      </c>
      <c r="E201" s="2">
        <v>10</v>
      </c>
      <c r="F201" s="3">
        <v>2290.34</v>
      </c>
      <c r="G201" s="3">
        <v>22903.4</v>
      </c>
      <c r="H201" s="3">
        <v>19542.419999999998</v>
      </c>
      <c r="I201" s="3">
        <v>3360.98</v>
      </c>
      <c r="J201" t="s">
        <v>27</v>
      </c>
      <c r="K201" t="s">
        <v>23</v>
      </c>
      <c r="L201">
        <f>tblRawBusinessData3[[#This Row],[Quantity]]*tblRawBusinessData3[[#This Row],[Unit_Price]]-tblRawBusinessData3[[#This Row],[Revenue]]</f>
        <v>0</v>
      </c>
      <c r="M201" s="3">
        <f t="shared" si="42"/>
        <v>0</v>
      </c>
      <c r="N201" s="3" t="str">
        <f t="shared" si="43"/>
        <v>Valid</v>
      </c>
      <c r="O201" s="3" t="str">
        <f t="shared" si="44"/>
        <v>Dec</v>
      </c>
      <c r="P201" s="3" t="str">
        <f t="shared" si="45"/>
        <v>Q4</v>
      </c>
      <c r="Q201">
        <f t="shared" si="46"/>
        <v>2025</v>
      </c>
      <c r="R201" s="4">
        <f t="shared" si="47"/>
        <v>0.14674589798894486</v>
      </c>
      <c r="S201" s="3" t="str">
        <f t="shared" si="48"/>
        <v>Medium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E92B-88B9-4600-8414-1A6BE09716D4}">
  <dimension ref="A3:F51"/>
  <sheetViews>
    <sheetView topLeftCell="A22" workbookViewId="0">
      <selection activeCell="F36" sqref="F36"/>
    </sheetView>
  </sheetViews>
  <sheetFormatPr defaultRowHeight="15" x14ac:dyDescent="0.25"/>
  <cols>
    <col min="1" max="1" width="20.140625" bestFit="1" customWidth="1"/>
    <col min="2" max="2" width="15.5703125" bestFit="1" customWidth="1"/>
    <col min="5" max="5" width="13.140625" bestFit="1" customWidth="1"/>
    <col min="6" max="6" width="20.140625" customWidth="1"/>
  </cols>
  <sheetData>
    <row r="3" spans="1:6" x14ac:dyDescent="0.25">
      <c r="A3" s="5" t="s">
        <v>64</v>
      </c>
      <c r="B3" t="s">
        <v>78</v>
      </c>
      <c r="E3" s="5" t="s">
        <v>64</v>
      </c>
      <c r="F3" t="s">
        <v>79</v>
      </c>
    </row>
    <row r="4" spans="1:6" x14ac:dyDescent="0.25">
      <c r="A4" s="6" t="s">
        <v>65</v>
      </c>
      <c r="B4" s="7">
        <v>906518</v>
      </c>
      <c r="E4" s="6" t="s">
        <v>65</v>
      </c>
      <c r="F4" s="7">
        <v>319042.19999999995</v>
      </c>
    </row>
    <row r="5" spans="1:6" x14ac:dyDescent="0.25">
      <c r="A5" s="6" t="s">
        <v>66</v>
      </c>
      <c r="B5" s="7">
        <v>698759.94000000006</v>
      </c>
      <c r="E5" s="6" t="s">
        <v>66</v>
      </c>
      <c r="F5" s="7">
        <v>262139.46999999997</v>
      </c>
    </row>
    <row r="6" spans="1:6" x14ac:dyDescent="0.25">
      <c r="A6" s="6" t="s">
        <v>67</v>
      </c>
      <c r="B6" s="7">
        <v>761668.98</v>
      </c>
      <c r="E6" s="6" t="s">
        <v>67</v>
      </c>
      <c r="F6" s="7">
        <v>319169.75000000006</v>
      </c>
    </row>
    <row r="7" spans="1:6" x14ac:dyDescent="0.25">
      <c r="A7" s="6" t="s">
        <v>68</v>
      </c>
      <c r="B7" s="7">
        <v>576912.07000000007</v>
      </c>
      <c r="E7" s="6" t="s">
        <v>68</v>
      </c>
      <c r="F7" s="7">
        <v>166103.83000000002</v>
      </c>
    </row>
    <row r="8" spans="1:6" x14ac:dyDescent="0.25">
      <c r="A8" s="6" t="s">
        <v>69</v>
      </c>
      <c r="B8" s="7">
        <v>914872.71</v>
      </c>
      <c r="E8" s="6" t="s">
        <v>69</v>
      </c>
      <c r="F8" s="7">
        <v>277487.96999999991</v>
      </c>
    </row>
    <row r="9" spans="1:6" x14ac:dyDescent="0.25">
      <c r="A9" s="6" t="s">
        <v>70</v>
      </c>
      <c r="B9" s="7">
        <v>764121.09</v>
      </c>
      <c r="E9" s="6" t="s">
        <v>70</v>
      </c>
      <c r="F9" s="7">
        <v>266714.96999999997</v>
      </c>
    </row>
    <row r="10" spans="1:6" x14ac:dyDescent="0.25">
      <c r="A10" s="6" t="s">
        <v>71</v>
      </c>
      <c r="B10" s="7">
        <v>727135.23</v>
      </c>
      <c r="E10" s="6" t="s">
        <v>71</v>
      </c>
      <c r="F10" s="7">
        <v>287690.28999999998</v>
      </c>
    </row>
    <row r="11" spans="1:6" x14ac:dyDescent="0.25">
      <c r="A11" s="6" t="s">
        <v>72</v>
      </c>
      <c r="B11" s="7">
        <v>555393.61</v>
      </c>
      <c r="E11" s="6" t="s">
        <v>72</v>
      </c>
      <c r="F11" s="7">
        <v>208089.03</v>
      </c>
    </row>
    <row r="12" spans="1:6" x14ac:dyDescent="0.25">
      <c r="A12" s="6" t="s">
        <v>73</v>
      </c>
      <c r="B12" s="7">
        <v>888299.93999999983</v>
      </c>
      <c r="E12" s="6" t="s">
        <v>73</v>
      </c>
      <c r="F12" s="7">
        <v>286575.96999999997</v>
      </c>
    </row>
    <row r="13" spans="1:6" x14ac:dyDescent="0.25">
      <c r="A13" s="6" t="s">
        <v>74</v>
      </c>
      <c r="B13" s="7">
        <v>582613.65</v>
      </c>
      <c r="E13" s="6" t="s">
        <v>74</v>
      </c>
      <c r="F13" s="7">
        <v>214809.55000000002</v>
      </c>
    </row>
    <row r="14" spans="1:6" x14ac:dyDescent="0.25">
      <c r="A14" s="6" t="s">
        <v>75</v>
      </c>
      <c r="B14" s="7">
        <v>412454.89</v>
      </c>
      <c r="E14" s="6" t="s">
        <v>75</v>
      </c>
      <c r="F14" s="7">
        <v>174612.51</v>
      </c>
    </row>
    <row r="15" spans="1:6" x14ac:dyDescent="0.25">
      <c r="A15" s="6" t="s">
        <v>76</v>
      </c>
      <c r="B15" s="7">
        <v>409595.29000000004</v>
      </c>
      <c r="E15" s="6" t="s">
        <v>76</v>
      </c>
      <c r="F15" s="7">
        <v>152901.77000000002</v>
      </c>
    </row>
    <row r="16" spans="1:6" x14ac:dyDescent="0.25">
      <c r="A16" s="6" t="s">
        <v>77</v>
      </c>
      <c r="B16" s="7">
        <v>8198345.3999999994</v>
      </c>
      <c r="E16" s="6" t="s">
        <v>77</v>
      </c>
      <c r="F16" s="7">
        <v>2935337.3099999991</v>
      </c>
    </row>
    <row r="20" spans="1:6" x14ac:dyDescent="0.25">
      <c r="A20" s="5" t="s">
        <v>64</v>
      </c>
      <c r="B20" t="s">
        <v>78</v>
      </c>
      <c r="E20" s="5" t="s">
        <v>64</v>
      </c>
      <c r="F20" t="s">
        <v>79</v>
      </c>
    </row>
    <row r="21" spans="1:6" x14ac:dyDescent="0.25">
      <c r="A21" s="6" t="s">
        <v>34</v>
      </c>
      <c r="B21" s="7">
        <v>462164.78000000009</v>
      </c>
      <c r="E21" s="6" t="s">
        <v>34</v>
      </c>
      <c r="F21" s="7">
        <v>90983.62999999999</v>
      </c>
    </row>
    <row r="22" spans="1:6" x14ac:dyDescent="0.25">
      <c r="A22" s="6" t="s">
        <v>12</v>
      </c>
      <c r="B22" s="7">
        <v>1398654.83</v>
      </c>
      <c r="E22" s="6" t="s">
        <v>12</v>
      </c>
      <c r="F22" s="7">
        <v>592635.76000000013</v>
      </c>
    </row>
    <row r="23" spans="1:6" x14ac:dyDescent="0.25">
      <c r="A23" s="6" t="s">
        <v>21</v>
      </c>
      <c r="B23" s="7">
        <v>3317931.6800000006</v>
      </c>
      <c r="E23" s="6" t="s">
        <v>21</v>
      </c>
      <c r="F23" s="7">
        <v>823511.56999999983</v>
      </c>
    </row>
    <row r="24" spans="1:6" x14ac:dyDescent="0.25">
      <c r="A24" s="6" t="s">
        <v>25</v>
      </c>
      <c r="B24" s="7">
        <v>2494470.7600000012</v>
      </c>
      <c r="E24" s="6" t="s">
        <v>25</v>
      </c>
      <c r="F24" s="7">
        <v>1110223.3099999998</v>
      </c>
    </row>
    <row r="25" spans="1:6" x14ac:dyDescent="0.25">
      <c r="A25" s="6" t="s">
        <v>37</v>
      </c>
      <c r="B25" s="7">
        <v>525123.35000000009</v>
      </c>
      <c r="E25" s="6" t="s">
        <v>37</v>
      </c>
      <c r="F25" s="7">
        <v>317983.04000000004</v>
      </c>
    </row>
    <row r="26" spans="1:6" x14ac:dyDescent="0.25">
      <c r="A26" s="6" t="s">
        <v>77</v>
      </c>
      <c r="B26" s="7">
        <v>8198345.4000000022</v>
      </c>
      <c r="E26" s="6" t="s">
        <v>77</v>
      </c>
      <c r="F26" s="7">
        <v>2935337.3099999996</v>
      </c>
    </row>
    <row r="35" spans="1:6" x14ac:dyDescent="0.25">
      <c r="A35" s="5" t="s">
        <v>64</v>
      </c>
      <c r="B35" t="s">
        <v>78</v>
      </c>
      <c r="E35" s="5" t="s">
        <v>64</v>
      </c>
      <c r="F35" t="s">
        <v>78</v>
      </c>
    </row>
    <row r="36" spans="1:6" x14ac:dyDescent="0.25">
      <c r="A36" s="6" t="s">
        <v>39</v>
      </c>
      <c r="B36" s="7">
        <v>1380181.9599999997</v>
      </c>
      <c r="E36" s="6" t="s">
        <v>29</v>
      </c>
      <c r="F36" s="7">
        <v>1328589.25</v>
      </c>
    </row>
    <row r="37" spans="1:6" x14ac:dyDescent="0.25">
      <c r="A37" s="6" t="s">
        <v>42</v>
      </c>
      <c r="B37" s="7">
        <v>1062666.6399999999</v>
      </c>
      <c r="E37" s="6" t="s">
        <v>14</v>
      </c>
      <c r="F37" s="7">
        <v>2638877.1800000006</v>
      </c>
    </row>
    <row r="38" spans="1:6" x14ac:dyDescent="0.25">
      <c r="A38" s="6" t="s">
        <v>11</v>
      </c>
      <c r="B38" s="7">
        <v>937284.46</v>
      </c>
      <c r="E38" s="6" t="s">
        <v>27</v>
      </c>
      <c r="F38" s="7">
        <v>876775.65</v>
      </c>
    </row>
    <row r="39" spans="1:6" x14ac:dyDescent="0.25">
      <c r="A39" s="6" t="s">
        <v>50</v>
      </c>
      <c r="B39" s="7">
        <v>718931.03000000026</v>
      </c>
      <c r="E39" s="6" t="s">
        <v>18</v>
      </c>
      <c r="F39" s="7">
        <v>1252979.1600000001</v>
      </c>
    </row>
    <row r="40" spans="1:6" x14ac:dyDescent="0.25">
      <c r="A40" s="6" t="s">
        <v>43</v>
      </c>
      <c r="B40" s="7">
        <v>590352.74000000011</v>
      </c>
      <c r="E40" s="6" t="s">
        <v>32</v>
      </c>
      <c r="F40" s="7">
        <v>2101124.1599999997</v>
      </c>
    </row>
    <row r="41" spans="1:6" x14ac:dyDescent="0.25">
      <c r="A41" s="6" t="s">
        <v>33</v>
      </c>
      <c r="B41" s="7">
        <v>585886.02</v>
      </c>
      <c r="E41" s="6" t="s">
        <v>77</v>
      </c>
      <c r="F41" s="7">
        <v>8198345.4000000004</v>
      </c>
    </row>
    <row r="42" spans="1:6" x14ac:dyDescent="0.25">
      <c r="A42" s="6" t="s">
        <v>20</v>
      </c>
      <c r="B42" s="7">
        <v>535738.32000000007</v>
      </c>
    </row>
    <row r="43" spans="1:6" x14ac:dyDescent="0.25">
      <c r="A43" s="6" t="s">
        <v>44</v>
      </c>
      <c r="B43" s="7">
        <v>471979.01</v>
      </c>
    </row>
    <row r="44" spans="1:6" x14ac:dyDescent="0.25">
      <c r="A44" s="6" t="s">
        <v>24</v>
      </c>
      <c r="B44" s="7">
        <v>426419.53</v>
      </c>
    </row>
    <row r="45" spans="1:6" x14ac:dyDescent="0.25">
      <c r="A45" s="6" t="s">
        <v>51</v>
      </c>
      <c r="B45" s="7">
        <v>352549.14</v>
      </c>
    </row>
    <row r="46" spans="1:6" x14ac:dyDescent="0.25">
      <c r="A46" s="6" t="s">
        <v>41</v>
      </c>
      <c r="B46" s="7">
        <v>342296.31000000006</v>
      </c>
    </row>
    <row r="47" spans="1:6" x14ac:dyDescent="0.25">
      <c r="A47" s="6" t="s">
        <v>53</v>
      </c>
      <c r="B47" s="7">
        <v>256801.19999999998</v>
      </c>
    </row>
    <row r="48" spans="1:6" x14ac:dyDescent="0.25">
      <c r="A48" s="6" t="s">
        <v>36</v>
      </c>
      <c r="B48" s="7">
        <v>247172.19</v>
      </c>
    </row>
    <row r="49" spans="1:2" x14ac:dyDescent="0.25">
      <c r="A49" s="6" t="s">
        <v>16</v>
      </c>
      <c r="B49" s="7">
        <v>170328.35</v>
      </c>
    </row>
    <row r="50" spans="1:2" x14ac:dyDescent="0.25">
      <c r="A50" s="6" t="s">
        <v>55</v>
      </c>
      <c r="B50" s="7">
        <v>119758.5</v>
      </c>
    </row>
    <row r="51" spans="1:2" x14ac:dyDescent="0.25">
      <c r="A51" s="6" t="s">
        <v>77</v>
      </c>
      <c r="B51" s="7">
        <v>8198345.4000000013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B377-1DC4-40C9-AB2D-746E461DC76B}">
  <sheetPr>
    <pageSetUpPr fitToPage="1"/>
  </sheetPr>
  <dimension ref="B1:J3"/>
  <sheetViews>
    <sheetView showGridLines="0" zoomScale="60" zoomScaleNormal="60" workbookViewId="0">
      <selection activeCell="X28" sqref="X28"/>
    </sheetView>
  </sheetViews>
  <sheetFormatPr defaultRowHeight="15" x14ac:dyDescent="0.25"/>
  <cols>
    <col min="2" max="2" width="48.85546875" customWidth="1"/>
    <col min="3" max="3" width="5.42578125" customWidth="1"/>
    <col min="4" max="4" width="37.140625" customWidth="1"/>
    <col min="5" max="5" width="5.28515625" customWidth="1"/>
    <col min="6" max="6" width="22.28515625" customWidth="1"/>
    <col min="7" max="7" width="5.42578125" customWidth="1"/>
    <col min="8" max="8" width="18.140625" customWidth="1"/>
    <col min="9" max="9" width="5.42578125" customWidth="1"/>
    <col min="10" max="10" width="41.85546875" customWidth="1"/>
  </cols>
  <sheetData>
    <row r="1" spans="2:10" ht="15.75" thickBot="1" x14ac:dyDescent="0.3"/>
    <row r="2" spans="2:10" ht="18" x14ac:dyDescent="0.25">
      <c r="B2" s="14" t="s">
        <v>80</v>
      </c>
      <c r="C2" s="15"/>
      <c r="D2" s="16" t="s">
        <v>81</v>
      </c>
      <c r="E2" s="15"/>
      <c r="F2" s="17" t="s">
        <v>82</v>
      </c>
      <c r="G2" s="15"/>
      <c r="H2" s="18" t="s">
        <v>83</v>
      </c>
      <c r="I2" s="15"/>
      <c r="J2" s="19" t="s">
        <v>84</v>
      </c>
    </row>
    <row r="3" spans="2:10" ht="21.75" thickBot="1" x14ac:dyDescent="0.4">
      <c r="B3" s="9">
        <f>SUM(tblRawBusinessData3[Revenue])</f>
        <v>8198345.4000000022</v>
      </c>
      <c r="C3" s="8"/>
      <c r="D3" s="10">
        <f>SUM(tblRawBusinessData3[Gross_Profit])</f>
        <v>2935337.3100000015</v>
      </c>
      <c r="E3" s="8"/>
      <c r="F3" s="11">
        <f>SUM(tblRawBusinessData3[Gross_Profit])/SUM(tblRawBusinessData3[Revenue])</f>
        <v>0.35804021016240678</v>
      </c>
      <c r="G3" s="8"/>
      <c r="H3" s="12">
        <f>COUNTA(_xlfn.UNIQUE(tblRawBusinessData3[Customer]))-1</f>
        <v>14</v>
      </c>
      <c r="I3" s="8"/>
      <c r="J3" s="13">
        <f>AVERAGE(tblRawBusinessData3[Revenue])</f>
        <v>40991.727000000014</v>
      </c>
    </row>
  </sheetData>
  <pageMargins left="0.7" right="0.7" top="0.75" bottom="0.75" header="0.3" footer="0.3"/>
  <pageSetup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 Bouwer</cp:lastModifiedBy>
  <cp:lastPrinted>2026-03-25T07:31:08Z</cp:lastPrinted>
  <dcterms:created xsi:type="dcterms:W3CDTF">2026-03-24T12:11:28Z</dcterms:created>
  <dcterms:modified xsi:type="dcterms:W3CDTF">2026-03-25T08:59:06Z</dcterms:modified>
</cp:coreProperties>
</file>